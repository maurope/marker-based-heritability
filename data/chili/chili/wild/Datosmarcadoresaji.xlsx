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uri\Documents\marker-based-heritability\data\chili\chili\wild\"/>
    </mc:Choice>
  </mc:AlternateContent>
  <xr:revisionPtr revIDLastSave="0" documentId="13_ncr:1_{835BE546-866C-4F94-9D18-48F9EBA45BBB}" xr6:coauthVersionLast="47" xr6:coauthVersionMax="47" xr10:uidLastSave="{00000000-0000-0000-0000-000000000000}"/>
  <bookViews>
    <workbookView xWindow="-5040" yWindow="-21720" windowWidth="38640" windowHeight="21120" activeTab="6" xr2:uid="{00000000-000D-0000-FFFF-FFFF00000000}"/>
  </bookViews>
  <sheets>
    <sheet name="Hoja1" sheetId="1" r:id="rId1"/>
    <sheet name="Datos Morfológicos" sheetId="3" r:id="rId2"/>
    <sheet name="traits" sheetId="5" r:id="rId3"/>
    <sheet name="Datos SSR" sheetId="2" r:id="rId4"/>
    <sheet name="Datos Capsaicina" sheetId="4" r:id="rId5"/>
    <sheet name="traits_cap" sheetId="7" r:id="rId6"/>
    <sheet name="traits_cap_csv" sheetId="8" r:id="rId7"/>
  </sheets>
  <definedNames>
    <definedName name="_xlnm._FilterDatabase" localSheetId="0" hidden="1">Hoja1!$A$1:$F$112</definedName>
    <definedName name="_xlnm._FilterDatabase" localSheetId="5" hidden="1">traits_cap!$A$1:$H$78</definedName>
    <definedName name="_xlnm._FilterDatabase" localSheetId="6" hidden="1">traits_cap_csv!$A$1:$L$78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2" i="3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2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3" i="7"/>
  <c r="H39" i="7"/>
  <c r="H40" i="7"/>
  <c r="H41" i="7"/>
  <c r="H42" i="7"/>
  <c r="H43" i="7"/>
  <c r="H44" i="7"/>
  <c r="H45" i="7"/>
  <c r="H48" i="7"/>
  <c r="H49" i="7"/>
  <c r="H50" i="7"/>
  <c r="H51" i="7"/>
  <c r="H52" i="7"/>
  <c r="H53" i="7"/>
  <c r="H56" i="7"/>
  <c r="H57" i="7"/>
  <c r="H58" i="7"/>
  <c r="H59" i="7"/>
  <c r="H61" i="7"/>
  <c r="H62" i="7"/>
  <c r="H66" i="7"/>
  <c r="H68" i="7"/>
  <c r="H69" i="7"/>
  <c r="H70" i="7"/>
  <c r="H72" i="7"/>
  <c r="H73" i="7"/>
  <c r="H74" i="7"/>
  <c r="H76" i="7"/>
  <c r="H77" i="7"/>
  <c r="H78" i="7"/>
  <c r="H3" i="7"/>
  <c r="H4" i="7"/>
  <c r="H2" i="7"/>
</calcChain>
</file>

<file path=xl/sharedStrings.xml><?xml version="1.0" encoding="utf-8"?>
<sst xmlns="http://schemas.openxmlformats.org/spreadsheetml/2006/main" count="1774" uniqueCount="242">
  <si>
    <t>Muestra</t>
  </si>
  <si>
    <t>Datos de SSR</t>
  </si>
  <si>
    <t>Datos de DArT-SNP</t>
  </si>
  <si>
    <t>Datos morfológicos</t>
  </si>
  <si>
    <t>Datos Capsaicinoides</t>
  </si>
  <si>
    <t>A-9</t>
  </si>
  <si>
    <t>B-1</t>
  </si>
  <si>
    <t>B-2</t>
  </si>
  <si>
    <t>B-3</t>
  </si>
  <si>
    <t>B-4</t>
  </si>
  <si>
    <t>B-7</t>
  </si>
  <si>
    <t>B-9B</t>
  </si>
  <si>
    <t>B-10</t>
  </si>
  <si>
    <t>B-11</t>
  </si>
  <si>
    <t>C-1</t>
  </si>
  <si>
    <t>C-2</t>
  </si>
  <si>
    <t>C-4</t>
  </si>
  <si>
    <t>C-5</t>
  </si>
  <si>
    <t>C-7</t>
  </si>
  <si>
    <t>C-9</t>
  </si>
  <si>
    <t>C-alfa</t>
  </si>
  <si>
    <t>C-F</t>
  </si>
  <si>
    <t>C-G</t>
  </si>
  <si>
    <t>C-H</t>
  </si>
  <si>
    <t>C-J</t>
  </si>
  <si>
    <t>C-K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</si>
  <si>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</si>
  <si>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</si>
  <si>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</si>
  <si>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</si>
  <si>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</si>
  <si>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</si>
  <si>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</si>
  <si>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</si>
  <si>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</si>
  <si>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</si>
  <si>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</si>
  <si>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</si>
  <si>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</si>
  <si>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D-3.5</t>
  </si>
  <si>
    <t>D-beta</t>
  </si>
  <si>
    <t>E-1</t>
  </si>
  <si>
    <t>E-4</t>
  </si>
  <si>
    <t>E-6</t>
  </si>
  <si>
    <t>E-7</t>
  </si>
  <si>
    <t>E-8</t>
  </si>
  <si>
    <t>E-9</t>
  </si>
  <si>
    <t>E-17</t>
  </si>
  <si>
    <t>E-18</t>
  </si>
  <si>
    <t>E-19</t>
  </si>
  <si>
    <t>E-21</t>
  </si>
  <si>
    <t>E-22</t>
  </si>
  <si>
    <t>E-23</t>
  </si>
  <si>
    <t>F-4</t>
  </si>
  <si>
    <t>F-6</t>
  </si>
  <si>
    <t>F-13</t>
  </si>
  <si>
    <t>F-17</t>
  </si>
  <si>
    <t>F-18</t>
  </si>
  <si>
    <t>F-I</t>
  </si>
  <si>
    <t>G-8</t>
  </si>
  <si>
    <t>G-10</t>
  </si>
  <si>
    <t>G-11</t>
  </si>
  <si>
    <t>G-14</t>
  </si>
  <si>
    <t>G-15</t>
  </si>
  <si>
    <t>G-16</t>
  </si>
  <si>
    <t>G-17</t>
  </si>
  <si>
    <t>G-18</t>
  </si>
  <si>
    <t>G-21</t>
  </si>
  <si>
    <t>H-27</t>
  </si>
  <si>
    <t>H-29</t>
  </si>
  <si>
    <t>H-30</t>
  </si>
  <si>
    <t>H-33</t>
  </si>
  <si>
    <t>H-36</t>
  </si>
  <si>
    <t>H-38</t>
  </si>
  <si>
    <t>H-39</t>
  </si>
  <si>
    <t>Caa</t>
  </si>
  <si>
    <t>Cfr</t>
  </si>
  <si>
    <t>Cag</t>
  </si>
  <si>
    <t>Especie</t>
  </si>
  <si>
    <t>Caa: C. annuum var. annuum</t>
  </si>
  <si>
    <t>Cag: C. annuum var. glabriusculum</t>
  </si>
  <si>
    <t>Cfr: C. frutescens</t>
  </si>
  <si>
    <t>Bd3</t>
  </si>
  <si>
    <t>Bd12</t>
  </si>
  <si>
    <t>Bd17</t>
  </si>
  <si>
    <t>Ng6</t>
  </si>
  <si>
    <t>Ng8</t>
  </si>
  <si>
    <t>Ng9</t>
  </si>
  <si>
    <t>Ng10</t>
  </si>
  <si>
    <t>Ng15</t>
  </si>
  <si>
    <t>Ng18</t>
  </si>
  <si>
    <t>Ng33</t>
  </si>
  <si>
    <t>J-9</t>
  </si>
  <si>
    <t>C-10</t>
  </si>
  <si>
    <t>K-3</t>
  </si>
  <si>
    <t>I-6B</t>
  </si>
  <si>
    <t>H-40</t>
  </si>
  <si>
    <t>K-9B</t>
  </si>
  <si>
    <t>K-6</t>
  </si>
  <si>
    <t>J-A</t>
  </si>
  <si>
    <t>K-7</t>
  </si>
  <si>
    <t>J-C</t>
  </si>
  <si>
    <t>I-7B</t>
  </si>
  <si>
    <t>I-8B</t>
  </si>
  <si>
    <t>K-F</t>
  </si>
  <si>
    <t>J-4</t>
  </si>
  <si>
    <t>I-2B</t>
  </si>
  <si>
    <t>J-12</t>
  </si>
  <si>
    <t>G10-J</t>
  </si>
  <si>
    <t>K-5</t>
  </si>
  <si>
    <t>B-6</t>
  </si>
  <si>
    <t>J-D</t>
  </si>
  <si>
    <t>Am-1</t>
  </si>
  <si>
    <t>H-31</t>
  </si>
  <si>
    <t>I-10</t>
  </si>
  <si>
    <t>Roc</t>
  </si>
  <si>
    <t>B-8</t>
  </si>
  <si>
    <t>I-1B</t>
  </si>
  <si>
    <t>I-5B</t>
  </si>
  <si>
    <t>CVLC-23</t>
  </si>
  <si>
    <t>Cly-1</t>
  </si>
  <si>
    <t>VinCar2</t>
  </si>
  <si>
    <t>VinCar</t>
  </si>
  <si>
    <t>Vin24</t>
  </si>
  <si>
    <t>Vin20</t>
  </si>
  <si>
    <t>Cly2</t>
  </si>
  <si>
    <t>Vin2</t>
  </si>
  <si>
    <t>Vin1</t>
  </si>
  <si>
    <t>Vin34</t>
  </si>
  <si>
    <t>Muestras</t>
  </si>
  <si>
    <t>Cly</t>
  </si>
  <si>
    <t>Crh</t>
  </si>
  <si>
    <t>Cft</t>
  </si>
  <si>
    <t>Cfo</t>
  </si>
  <si>
    <t>Cfw</t>
  </si>
  <si>
    <t>Cpu</t>
  </si>
  <si>
    <t>Cbp</t>
  </si>
  <si>
    <t>Cdi</t>
  </si>
  <si>
    <t>Cba</t>
  </si>
  <si>
    <t>Diametro flor (mm)</t>
  </si>
  <si>
    <t>Peso fruto (g)</t>
  </si>
  <si>
    <t>Largo fruto (mm)</t>
  </si>
  <si>
    <t>Ancho fruto (mm)</t>
  </si>
  <si>
    <t>Alto fruto (mm)</t>
  </si>
  <si>
    <t>Cch</t>
  </si>
  <si>
    <t>F-5</t>
  </si>
  <si>
    <t>C-ly</t>
  </si>
  <si>
    <t>J-2</t>
  </si>
  <si>
    <t>J-3</t>
  </si>
  <si>
    <t>J-5</t>
  </si>
  <si>
    <t>J-6</t>
  </si>
  <si>
    <t>J-8</t>
  </si>
  <si>
    <t>J-9B</t>
  </si>
  <si>
    <t>J-E</t>
  </si>
  <si>
    <t>K-9</t>
  </si>
  <si>
    <t>L-1</t>
  </si>
  <si>
    <t>L-10</t>
  </si>
  <si>
    <t>L-11</t>
  </si>
  <si>
    <t>L-12</t>
  </si>
  <si>
    <t>L-13</t>
  </si>
  <si>
    <t>L-14</t>
  </si>
  <si>
    <t>L-3.5</t>
  </si>
  <si>
    <t>L-4</t>
  </si>
  <si>
    <t>L-5</t>
  </si>
  <si>
    <t>L-6</t>
  </si>
  <si>
    <t>L-7</t>
  </si>
  <si>
    <t>L-8</t>
  </si>
  <si>
    <t>L-9</t>
  </si>
  <si>
    <t>M-1</t>
  </si>
  <si>
    <t>M-16</t>
  </si>
  <si>
    <t>M-17</t>
  </si>
  <si>
    <t>M-18</t>
  </si>
  <si>
    <t>M-19</t>
  </si>
  <si>
    <t>M-2</t>
  </si>
  <si>
    <t>M-20</t>
  </si>
  <si>
    <t>M-22</t>
  </si>
  <si>
    <t>M-23</t>
  </si>
  <si>
    <t>M-3</t>
  </si>
  <si>
    <t>M-4</t>
  </si>
  <si>
    <t>M-5</t>
  </si>
  <si>
    <t>N-1</t>
  </si>
  <si>
    <t>N-10</t>
  </si>
  <si>
    <t>N-2</t>
  </si>
  <si>
    <t>N-3</t>
  </si>
  <si>
    <t>N-4</t>
  </si>
  <si>
    <t>N-5</t>
  </si>
  <si>
    <t>N-6</t>
  </si>
  <si>
    <t>N-7</t>
  </si>
  <si>
    <t>N-8</t>
  </si>
  <si>
    <t>N-9</t>
  </si>
  <si>
    <t>N-9B</t>
  </si>
  <si>
    <t>N-alfa</t>
  </si>
  <si>
    <t>N-F</t>
  </si>
  <si>
    <t>N-G</t>
  </si>
  <si>
    <t>N-H</t>
  </si>
  <si>
    <t>N-J</t>
  </si>
  <si>
    <t>N-K</t>
  </si>
  <si>
    <t>O-1</t>
  </si>
  <si>
    <t>O-10</t>
  </si>
  <si>
    <t>O-1B</t>
  </si>
  <si>
    <t>O-2B</t>
  </si>
  <si>
    <t>O-4</t>
  </si>
  <si>
    <t>O-4B</t>
  </si>
  <si>
    <t>O-5</t>
  </si>
  <si>
    <t>O-5B</t>
  </si>
  <si>
    <t>O-6</t>
  </si>
  <si>
    <t>O-6B</t>
  </si>
  <si>
    <t>O-7</t>
  </si>
  <si>
    <t>O-7B</t>
  </si>
  <si>
    <t>O-9</t>
  </si>
  <si>
    <t>Datos tomados por Ronald</t>
  </si>
  <si>
    <t>Cap: Capsaicina</t>
  </si>
  <si>
    <t>Cap (mg/g)</t>
  </si>
  <si>
    <t>Dicap (mg/g)</t>
  </si>
  <si>
    <t>Dicap: Dihidrocapsaicina</t>
  </si>
  <si>
    <t>Sin datos</t>
  </si>
  <si>
    <t>Datos de Reina</t>
  </si>
  <si>
    <r>
      <rPr>
        <i/>
        <sz val="10"/>
        <color rgb="FF000000"/>
        <rFont val="Arial"/>
        <family val="2"/>
      </rPr>
      <t>C. annuum</t>
    </r>
    <r>
      <rPr>
        <sz val="10"/>
        <color rgb="FF000000"/>
        <rFont val="Arial"/>
        <family val="2"/>
      </rPr>
      <t xml:space="preserve"> var.</t>
    </r>
    <r>
      <rPr>
        <i/>
        <sz val="10"/>
        <color rgb="FF000000"/>
        <rFont val="Arial"/>
        <family val="2"/>
      </rPr>
      <t xml:space="preserve"> annuum</t>
    </r>
  </si>
  <si>
    <r>
      <rPr>
        <i/>
        <sz val="10"/>
        <color rgb="FF000000"/>
        <rFont val="Arial"/>
        <family val="2"/>
      </rPr>
      <t>C. annuum</t>
    </r>
    <r>
      <rPr>
        <sz val="10"/>
        <color rgb="FF000000"/>
        <rFont val="Arial"/>
        <family val="2"/>
      </rPr>
      <t xml:space="preserve"> var.</t>
    </r>
    <r>
      <rPr>
        <i/>
        <sz val="10"/>
        <color rgb="FF000000"/>
        <rFont val="Arial"/>
        <family val="2"/>
      </rPr>
      <t xml:space="preserve"> glabriusculum</t>
    </r>
  </si>
  <si>
    <t>C. frutescens</t>
  </si>
  <si>
    <t>A-1</t>
  </si>
  <si>
    <t>A-2</t>
  </si>
  <si>
    <t>F-7</t>
  </si>
  <si>
    <t>Vin14</t>
  </si>
  <si>
    <t>D-q</t>
  </si>
  <si>
    <t>Propoción peso semillas /peso fruto</t>
  </si>
  <si>
    <t>A-5</t>
  </si>
  <si>
    <t>A-3</t>
  </si>
  <si>
    <t>sample</t>
  </si>
  <si>
    <t>flower_diameter</t>
  </si>
  <si>
    <t>fruit_weight</t>
  </si>
  <si>
    <t>fruit_width</t>
  </si>
  <si>
    <t>fruit_height</t>
  </si>
  <si>
    <t>seeds_weight_ratio</t>
  </si>
  <si>
    <t>fruit_length</t>
  </si>
  <si>
    <t>Capsaicine</t>
  </si>
  <si>
    <t>No</t>
  </si>
  <si>
    <t>ronald</t>
  </si>
  <si>
    <t>reina</t>
  </si>
  <si>
    <t>researcher</t>
  </si>
  <si>
    <t>C. annuum var. annuum</t>
  </si>
  <si>
    <t>C. annuum var. glabriusculum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</si>
</sst>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2" fontId="3" fillId="0" borderId="0" xfId="0" applyNumberFormat="1" applyFont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164" fontId="0" fillId="0" borderId="0" xfId="0" applyNumberFormat="1"/>
    <xf numFmtId="0" fontId="0" fillId="3" borderId="0" xfId="0" applyFill="1" applyAlignment="1">
      <alignment horizontal="center"/>
    </xf>
    <xf numFmtId="0" fontId="0" fillId="3" borderId="0" xfId="0" applyFill="1"/>
    <xf numFmtId="0" fontId="4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workbookViewId="0">
      <selection activeCell="G3" sqref="G3"/>
    </sheetView>
  </sheetViews>
  <sheetFormatPr defaultColWidth="8.88671875" defaultRowHeight="14.4" x14ac:dyDescent="0.3"/>
  <cols>
    <col min="2" max="2" width="9.109375" customWidth="1"/>
    <col min="3" max="3" width="16.5546875" customWidth="1"/>
    <col min="4" max="4" width="12.6640625" customWidth="1"/>
    <col min="5" max="5" width="14.5546875" customWidth="1"/>
    <col min="6" max="6" width="11.5546875" customWidth="1"/>
  </cols>
  <sheetData>
    <row r="1" spans="1:9" ht="48" customHeight="1" x14ac:dyDescent="0.3">
      <c r="A1" s="13" t="s">
        <v>129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78</v>
      </c>
    </row>
    <row r="2" spans="1:9" x14ac:dyDescent="0.3">
      <c r="A2" t="s">
        <v>5</v>
      </c>
      <c r="B2">
        <v>1</v>
      </c>
      <c r="C2">
        <v>0</v>
      </c>
      <c r="D2">
        <v>1</v>
      </c>
      <c r="E2">
        <v>1</v>
      </c>
      <c r="F2" t="s">
        <v>75</v>
      </c>
    </row>
    <row r="3" spans="1:9" x14ac:dyDescent="0.3">
      <c r="A3" t="s">
        <v>6</v>
      </c>
      <c r="B3">
        <v>1</v>
      </c>
      <c r="C3">
        <v>0</v>
      </c>
      <c r="D3">
        <v>1</v>
      </c>
      <c r="E3">
        <v>1</v>
      </c>
      <c r="F3" t="s">
        <v>75</v>
      </c>
    </row>
    <row r="4" spans="1:9" x14ac:dyDescent="0.3">
      <c r="A4" t="s">
        <v>7</v>
      </c>
      <c r="B4">
        <v>1</v>
      </c>
      <c r="C4">
        <v>0</v>
      </c>
      <c r="D4">
        <v>1</v>
      </c>
      <c r="E4">
        <v>1</v>
      </c>
      <c r="F4" t="s">
        <v>75</v>
      </c>
      <c r="I4" t="s">
        <v>79</v>
      </c>
    </row>
    <row r="5" spans="1:9" x14ac:dyDescent="0.3">
      <c r="A5" t="s">
        <v>8</v>
      </c>
      <c r="B5">
        <v>1</v>
      </c>
      <c r="C5">
        <v>0</v>
      </c>
      <c r="D5">
        <v>0</v>
      </c>
      <c r="E5">
        <v>0</v>
      </c>
      <c r="F5" t="s">
        <v>76</v>
      </c>
      <c r="I5" t="s">
        <v>80</v>
      </c>
    </row>
    <row r="6" spans="1:9" x14ac:dyDescent="0.3">
      <c r="A6" t="s">
        <v>9</v>
      </c>
      <c r="B6">
        <v>1</v>
      </c>
      <c r="C6">
        <v>1</v>
      </c>
      <c r="D6">
        <v>1</v>
      </c>
      <c r="E6">
        <v>1</v>
      </c>
      <c r="F6" t="s">
        <v>75</v>
      </c>
      <c r="I6" t="s">
        <v>81</v>
      </c>
    </row>
    <row r="7" spans="1:9" x14ac:dyDescent="0.3">
      <c r="A7" t="s">
        <v>10</v>
      </c>
      <c r="B7">
        <v>1</v>
      </c>
      <c r="C7">
        <v>1</v>
      </c>
      <c r="D7">
        <v>1</v>
      </c>
      <c r="E7">
        <v>1</v>
      </c>
      <c r="F7" t="s">
        <v>76</v>
      </c>
    </row>
    <row r="8" spans="1:9" x14ac:dyDescent="0.3">
      <c r="A8" t="s">
        <v>11</v>
      </c>
      <c r="B8">
        <v>1</v>
      </c>
      <c r="C8">
        <v>1</v>
      </c>
      <c r="D8">
        <v>1</v>
      </c>
      <c r="E8">
        <v>1</v>
      </c>
      <c r="F8" t="s">
        <v>75</v>
      </c>
    </row>
    <row r="9" spans="1:9" x14ac:dyDescent="0.3">
      <c r="A9" t="s">
        <v>12</v>
      </c>
      <c r="B9">
        <v>1</v>
      </c>
      <c r="C9">
        <v>0</v>
      </c>
      <c r="D9">
        <v>1</v>
      </c>
      <c r="E9">
        <v>1</v>
      </c>
      <c r="F9" t="s">
        <v>75</v>
      </c>
    </row>
    <row r="10" spans="1:9" x14ac:dyDescent="0.3">
      <c r="A10" t="s">
        <v>13</v>
      </c>
      <c r="B10">
        <v>1</v>
      </c>
      <c r="C10">
        <v>0</v>
      </c>
      <c r="D10">
        <v>1</v>
      </c>
      <c r="E10">
        <v>1</v>
      </c>
      <c r="F10" t="s">
        <v>77</v>
      </c>
    </row>
    <row r="11" spans="1:9" x14ac:dyDescent="0.3">
      <c r="A11" t="s">
        <v>14</v>
      </c>
      <c r="B11">
        <v>1</v>
      </c>
      <c r="C11">
        <v>1</v>
      </c>
      <c r="D11">
        <v>1</v>
      </c>
      <c r="E11">
        <v>1</v>
      </c>
      <c r="F11" t="s">
        <v>76</v>
      </c>
    </row>
    <row r="12" spans="1:9" x14ac:dyDescent="0.3">
      <c r="A12" t="s">
        <v>15</v>
      </c>
      <c r="B12">
        <v>1</v>
      </c>
      <c r="C12">
        <v>1</v>
      </c>
      <c r="D12">
        <v>1</v>
      </c>
      <c r="E12">
        <v>1</v>
      </c>
      <c r="F12" t="s">
        <v>77</v>
      </c>
    </row>
    <row r="13" spans="1:9" x14ac:dyDescent="0.3">
      <c r="A13" t="s">
        <v>16</v>
      </c>
      <c r="B13">
        <v>1</v>
      </c>
      <c r="C13">
        <v>0</v>
      </c>
      <c r="D13">
        <v>0</v>
      </c>
      <c r="E13">
        <v>0</v>
      </c>
      <c r="F13" t="s">
        <v>76</v>
      </c>
    </row>
    <row r="14" spans="1:9" x14ac:dyDescent="0.3">
      <c r="A14" t="s">
        <v>17</v>
      </c>
      <c r="B14">
        <v>1</v>
      </c>
      <c r="C14">
        <v>0</v>
      </c>
      <c r="D14">
        <v>0</v>
      </c>
      <c r="E14">
        <v>0</v>
      </c>
      <c r="F14" t="s">
        <v>75</v>
      </c>
    </row>
    <row r="15" spans="1:9" x14ac:dyDescent="0.3">
      <c r="A15" t="s">
        <v>18</v>
      </c>
      <c r="B15">
        <v>1</v>
      </c>
      <c r="C15">
        <v>0</v>
      </c>
      <c r="D15">
        <v>0</v>
      </c>
      <c r="E15">
        <v>0</v>
      </c>
      <c r="F15" t="s">
        <v>76</v>
      </c>
    </row>
    <row r="16" spans="1:9" x14ac:dyDescent="0.3">
      <c r="A16" t="s">
        <v>19</v>
      </c>
      <c r="B16">
        <v>1</v>
      </c>
      <c r="C16">
        <v>1</v>
      </c>
      <c r="D16">
        <v>1</v>
      </c>
      <c r="E16">
        <v>1</v>
      </c>
      <c r="F16" t="s">
        <v>76</v>
      </c>
    </row>
    <row r="17" spans="1:6" x14ac:dyDescent="0.3">
      <c r="A17" t="s">
        <v>20</v>
      </c>
      <c r="B17">
        <v>1</v>
      </c>
      <c r="C17">
        <v>1</v>
      </c>
      <c r="D17">
        <v>1</v>
      </c>
      <c r="E17">
        <v>1</v>
      </c>
      <c r="F17" t="s">
        <v>75</v>
      </c>
    </row>
    <row r="18" spans="1:6" x14ac:dyDescent="0.3">
      <c r="A18" t="s">
        <v>21</v>
      </c>
      <c r="B18">
        <v>1</v>
      </c>
      <c r="C18">
        <v>0</v>
      </c>
      <c r="D18">
        <v>1</v>
      </c>
      <c r="E18">
        <v>1</v>
      </c>
      <c r="F18" t="s">
        <v>75</v>
      </c>
    </row>
    <row r="19" spans="1:6" x14ac:dyDescent="0.3">
      <c r="A19" t="s">
        <v>22</v>
      </c>
      <c r="B19">
        <v>1</v>
      </c>
      <c r="C19">
        <v>1</v>
      </c>
      <c r="D19">
        <v>1</v>
      </c>
      <c r="E19">
        <v>1</v>
      </c>
      <c r="F19" t="s">
        <v>75</v>
      </c>
    </row>
    <row r="20" spans="1:6" x14ac:dyDescent="0.3">
      <c r="A20" t="s">
        <v>23</v>
      </c>
      <c r="B20">
        <v>1</v>
      </c>
      <c r="C20">
        <v>1</v>
      </c>
      <c r="D20">
        <v>1</v>
      </c>
      <c r="E20">
        <v>1</v>
      </c>
      <c r="F20" t="s">
        <v>75</v>
      </c>
    </row>
    <row r="21" spans="1:6" x14ac:dyDescent="0.3">
      <c r="A21" t="s">
        <v>24</v>
      </c>
      <c r="B21">
        <v>1</v>
      </c>
      <c r="C21">
        <v>0</v>
      </c>
      <c r="D21">
        <v>1</v>
      </c>
      <c r="E21">
        <v>1</v>
      </c>
      <c r="F21" t="s">
        <v>75</v>
      </c>
    </row>
    <row r="22" spans="1:6" x14ac:dyDescent="0.3">
      <c r="A22" t="s">
        <v>25</v>
      </c>
      <c r="B22">
        <v>1</v>
      </c>
      <c r="C22">
        <v>1</v>
      </c>
      <c r="D22">
        <v>1</v>
      </c>
      <c r="E22">
        <v>1</v>
      </c>
      <c r="F22" t="s">
        <v>75</v>
      </c>
    </row>
    <row r="23" spans="1:6" x14ac:dyDescent="0.3">
      <c r="A23" t="s">
        <v>26</v>
      </c>
      <c r="B23">
        <v>1</v>
      </c>
      <c r="C23">
        <v>0</v>
      </c>
      <c r="D23">
        <v>1</v>
      </c>
      <c r="E23">
        <v>1</v>
      </c>
      <c r="F23" t="s">
        <v>75</v>
      </c>
    </row>
    <row r="24" spans="1:6" x14ac:dyDescent="0.3">
      <c r="A24" t="s">
        <v>27</v>
      </c>
      <c r="B24">
        <v>1</v>
      </c>
      <c r="C24">
        <v>0</v>
      </c>
      <c r="D24">
        <v>1</v>
      </c>
      <c r="E24">
        <v>1</v>
      </c>
      <c r="F24" t="s">
        <v>75</v>
      </c>
    </row>
    <row r="25" spans="1:6" x14ac:dyDescent="0.3">
      <c r="A25" t="s">
        <v>28</v>
      </c>
      <c r="B25">
        <v>1</v>
      </c>
      <c r="C25">
        <v>0</v>
      </c>
      <c r="D25">
        <v>1</v>
      </c>
      <c r="E25">
        <v>1</v>
      </c>
      <c r="F25" t="s">
        <v>76</v>
      </c>
    </row>
    <row r="26" spans="1:6" x14ac:dyDescent="0.3">
      <c r="A26" t="s">
        <v>29</v>
      </c>
      <c r="B26">
        <v>1</v>
      </c>
      <c r="C26">
        <v>1</v>
      </c>
      <c r="D26">
        <v>1</v>
      </c>
      <c r="E26">
        <v>1</v>
      </c>
      <c r="F26" t="s">
        <v>77</v>
      </c>
    </row>
    <row r="27" spans="1:6" x14ac:dyDescent="0.3">
      <c r="A27" t="s">
        <v>30</v>
      </c>
      <c r="B27">
        <v>1</v>
      </c>
      <c r="C27">
        <v>0</v>
      </c>
      <c r="D27">
        <v>1</v>
      </c>
      <c r="E27">
        <v>1</v>
      </c>
      <c r="F27" t="s">
        <v>77</v>
      </c>
    </row>
    <row r="28" spans="1:6" x14ac:dyDescent="0.3">
      <c r="A28" t="s">
        <v>31</v>
      </c>
      <c r="B28">
        <v>1</v>
      </c>
      <c r="C28">
        <v>1</v>
      </c>
      <c r="D28">
        <v>1</v>
      </c>
      <c r="E28">
        <v>1</v>
      </c>
      <c r="F28" t="s">
        <v>76</v>
      </c>
    </row>
    <row r="29" spans="1:6" x14ac:dyDescent="0.3">
      <c r="A29" t="s">
        <v>32</v>
      </c>
      <c r="B29">
        <v>1</v>
      </c>
      <c r="C29">
        <v>1</v>
      </c>
      <c r="D29">
        <v>1</v>
      </c>
      <c r="E29">
        <v>1</v>
      </c>
      <c r="F29" t="s">
        <v>75</v>
      </c>
    </row>
    <row r="30" spans="1:6" x14ac:dyDescent="0.3">
      <c r="A30" t="s">
        <v>33</v>
      </c>
      <c r="B30">
        <v>1</v>
      </c>
      <c r="C30">
        <v>0</v>
      </c>
      <c r="D30">
        <v>1</v>
      </c>
      <c r="E30">
        <v>1</v>
      </c>
      <c r="F30" t="s">
        <v>75</v>
      </c>
    </row>
    <row r="31" spans="1:6" x14ac:dyDescent="0.3">
      <c r="A31" t="s">
        <v>34</v>
      </c>
      <c r="B31">
        <v>1</v>
      </c>
      <c r="C31">
        <v>0</v>
      </c>
      <c r="D31">
        <v>1</v>
      </c>
      <c r="E31">
        <v>1</v>
      </c>
      <c r="F31" t="s">
        <v>75</v>
      </c>
    </row>
    <row r="32" spans="1:6" x14ac:dyDescent="0.3">
      <c r="A32" t="s">
        <v>35</v>
      </c>
      <c r="B32">
        <v>1</v>
      </c>
      <c r="C32">
        <v>0</v>
      </c>
      <c r="D32">
        <v>1</v>
      </c>
      <c r="E32">
        <v>1</v>
      </c>
      <c r="F32" t="s">
        <v>75</v>
      </c>
    </row>
    <row r="33" spans="1:6" x14ac:dyDescent="0.3">
      <c r="A33" t="s">
        <v>36</v>
      </c>
      <c r="B33">
        <v>1</v>
      </c>
      <c r="C33">
        <v>1</v>
      </c>
      <c r="D33">
        <v>1</v>
      </c>
      <c r="E33">
        <v>1</v>
      </c>
      <c r="F33" t="s">
        <v>76</v>
      </c>
    </row>
    <row r="34" spans="1:6" x14ac:dyDescent="0.3">
      <c r="A34" t="s">
        <v>37</v>
      </c>
      <c r="B34">
        <v>1</v>
      </c>
      <c r="C34">
        <v>1</v>
      </c>
      <c r="D34">
        <v>1</v>
      </c>
      <c r="E34">
        <v>1</v>
      </c>
      <c r="F34" t="s">
        <v>75</v>
      </c>
    </row>
    <row r="35" spans="1:6" x14ac:dyDescent="0.3">
      <c r="A35" t="s">
        <v>38</v>
      </c>
      <c r="B35">
        <v>1</v>
      </c>
      <c r="C35">
        <v>1</v>
      </c>
      <c r="D35">
        <v>1</v>
      </c>
      <c r="E35">
        <v>1</v>
      </c>
      <c r="F35" t="s">
        <v>77</v>
      </c>
    </row>
    <row r="36" spans="1:6" x14ac:dyDescent="0.3">
      <c r="A36" t="s">
        <v>39</v>
      </c>
      <c r="B36">
        <v>1</v>
      </c>
      <c r="C36">
        <v>1</v>
      </c>
      <c r="D36">
        <v>1</v>
      </c>
      <c r="E36">
        <v>0</v>
      </c>
      <c r="F36" t="s">
        <v>77</v>
      </c>
    </row>
    <row r="37" spans="1:6" x14ac:dyDescent="0.3">
      <c r="A37" t="s">
        <v>40</v>
      </c>
      <c r="B37">
        <v>1</v>
      </c>
      <c r="C37">
        <v>1</v>
      </c>
      <c r="D37">
        <v>1</v>
      </c>
      <c r="E37">
        <v>1</v>
      </c>
      <c r="F37" t="s">
        <v>77</v>
      </c>
    </row>
    <row r="38" spans="1:6" x14ac:dyDescent="0.3">
      <c r="A38" t="s">
        <v>41</v>
      </c>
      <c r="B38">
        <v>1</v>
      </c>
      <c r="C38">
        <v>0</v>
      </c>
      <c r="D38">
        <v>0</v>
      </c>
      <c r="E38">
        <v>0</v>
      </c>
      <c r="F38" t="e">
        <v>#N/A</v>
      </c>
    </row>
    <row r="39" spans="1:6" x14ac:dyDescent="0.3">
      <c r="A39" t="s">
        <v>42</v>
      </c>
      <c r="B39">
        <v>1</v>
      </c>
      <c r="C39">
        <v>0</v>
      </c>
      <c r="D39">
        <v>1</v>
      </c>
      <c r="E39">
        <v>0</v>
      </c>
      <c r="F39" t="e">
        <v>#N/A</v>
      </c>
    </row>
    <row r="40" spans="1:6" x14ac:dyDescent="0.3">
      <c r="A40" t="s">
        <v>43</v>
      </c>
      <c r="B40">
        <v>1</v>
      </c>
      <c r="C40">
        <v>0</v>
      </c>
      <c r="D40">
        <v>1</v>
      </c>
      <c r="E40">
        <v>0</v>
      </c>
      <c r="F40" t="s">
        <v>75</v>
      </c>
    </row>
    <row r="41" spans="1:6" x14ac:dyDescent="0.3">
      <c r="A41" t="s">
        <v>44</v>
      </c>
      <c r="B41">
        <v>1</v>
      </c>
      <c r="C41">
        <v>0</v>
      </c>
      <c r="D41">
        <v>1</v>
      </c>
      <c r="E41">
        <v>0</v>
      </c>
      <c r="F41" t="s">
        <v>75</v>
      </c>
    </row>
    <row r="42" spans="1:6" x14ac:dyDescent="0.3">
      <c r="A42" t="s">
        <v>45</v>
      </c>
      <c r="B42">
        <v>1</v>
      </c>
      <c r="C42">
        <v>0</v>
      </c>
      <c r="D42">
        <v>1</v>
      </c>
      <c r="E42">
        <v>0</v>
      </c>
      <c r="F42" t="s">
        <v>75</v>
      </c>
    </row>
    <row r="43" spans="1:6" x14ac:dyDescent="0.3">
      <c r="A43" t="s">
        <v>46</v>
      </c>
      <c r="B43">
        <v>1</v>
      </c>
      <c r="C43">
        <v>0</v>
      </c>
      <c r="D43">
        <v>1</v>
      </c>
      <c r="E43">
        <v>0</v>
      </c>
      <c r="F43" t="s">
        <v>75</v>
      </c>
    </row>
    <row r="44" spans="1:6" x14ac:dyDescent="0.3">
      <c r="A44" t="s">
        <v>47</v>
      </c>
      <c r="B44">
        <v>1</v>
      </c>
      <c r="C44">
        <v>1</v>
      </c>
      <c r="D44">
        <v>1</v>
      </c>
      <c r="E44">
        <v>1</v>
      </c>
      <c r="F44" t="s">
        <v>75</v>
      </c>
    </row>
    <row r="45" spans="1:6" x14ac:dyDescent="0.3">
      <c r="A45" t="s">
        <v>48</v>
      </c>
      <c r="B45">
        <v>1</v>
      </c>
      <c r="C45">
        <v>1</v>
      </c>
      <c r="D45">
        <v>1</v>
      </c>
      <c r="E45">
        <v>1</v>
      </c>
      <c r="F45" t="s">
        <v>75</v>
      </c>
    </row>
    <row r="46" spans="1:6" x14ac:dyDescent="0.3">
      <c r="A46" t="s">
        <v>49</v>
      </c>
      <c r="B46">
        <v>1</v>
      </c>
      <c r="C46">
        <v>0</v>
      </c>
      <c r="D46">
        <v>1</v>
      </c>
      <c r="E46">
        <v>1</v>
      </c>
      <c r="F46" t="s">
        <v>75</v>
      </c>
    </row>
    <row r="47" spans="1:6" x14ac:dyDescent="0.3">
      <c r="A47" t="s">
        <v>50</v>
      </c>
      <c r="B47">
        <v>1</v>
      </c>
      <c r="C47">
        <v>1</v>
      </c>
      <c r="D47">
        <v>1</v>
      </c>
      <c r="E47">
        <v>1</v>
      </c>
      <c r="F47" t="s">
        <v>75</v>
      </c>
    </row>
    <row r="48" spans="1:6" x14ac:dyDescent="0.3">
      <c r="A48" t="s">
        <v>51</v>
      </c>
      <c r="B48">
        <v>1</v>
      </c>
      <c r="C48">
        <v>0</v>
      </c>
      <c r="D48">
        <v>1</v>
      </c>
      <c r="E48">
        <v>1</v>
      </c>
      <c r="F48" t="s">
        <v>75</v>
      </c>
    </row>
    <row r="49" spans="1:6" x14ac:dyDescent="0.3">
      <c r="A49" t="s">
        <v>52</v>
      </c>
      <c r="B49">
        <v>1</v>
      </c>
      <c r="C49">
        <v>1</v>
      </c>
      <c r="D49">
        <v>1</v>
      </c>
      <c r="E49">
        <v>1</v>
      </c>
      <c r="F49" t="s">
        <v>75</v>
      </c>
    </row>
    <row r="50" spans="1:6" x14ac:dyDescent="0.3">
      <c r="A50" t="s">
        <v>53</v>
      </c>
      <c r="B50">
        <v>1</v>
      </c>
      <c r="C50">
        <v>0</v>
      </c>
      <c r="D50">
        <v>0</v>
      </c>
      <c r="E50">
        <v>0</v>
      </c>
      <c r="F50" t="s">
        <v>75</v>
      </c>
    </row>
    <row r="51" spans="1:6" x14ac:dyDescent="0.3">
      <c r="A51" t="s">
        <v>54</v>
      </c>
      <c r="B51">
        <v>1</v>
      </c>
      <c r="C51">
        <v>0</v>
      </c>
      <c r="D51">
        <v>1</v>
      </c>
      <c r="E51">
        <v>1</v>
      </c>
      <c r="F51" t="s">
        <v>75</v>
      </c>
    </row>
    <row r="52" spans="1:6" x14ac:dyDescent="0.3">
      <c r="A52" t="s">
        <v>55</v>
      </c>
      <c r="B52">
        <v>1</v>
      </c>
      <c r="C52">
        <v>1</v>
      </c>
      <c r="D52">
        <v>1</v>
      </c>
      <c r="E52">
        <v>0</v>
      </c>
      <c r="F52" t="s">
        <v>75</v>
      </c>
    </row>
    <row r="53" spans="1:6" x14ac:dyDescent="0.3">
      <c r="A53" t="s">
        <v>56</v>
      </c>
      <c r="B53">
        <v>1</v>
      </c>
      <c r="C53">
        <v>0</v>
      </c>
      <c r="D53">
        <v>1</v>
      </c>
      <c r="E53">
        <v>0</v>
      </c>
      <c r="F53" t="s">
        <v>75</v>
      </c>
    </row>
    <row r="54" spans="1:6" x14ac:dyDescent="0.3">
      <c r="A54" t="s">
        <v>57</v>
      </c>
      <c r="B54">
        <v>1</v>
      </c>
      <c r="C54">
        <v>1</v>
      </c>
      <c r="D54">
        <v>1</v>
      </c>
      <c r="E54">
        <v>0</v>
      </c>
      <c r="F54" t="s">
        <v>75</v>
      </c>
    </row>
    <row r="55" spans="1:6" x14ac:dyDescent="0.3">
      <c r="A55" t="s">
        <v>58</v>
      </c>
      <c r="B55">
        <v>1</v>
      </c>
      <c r="C55">
        <v>0</v>
      </c>
      <c r="D55">
        <v>1</v>
      </c>
      <c r="E55">
        <v>1</v>
      </c>
      <c r="F55" t="s">
        <v>75</v>
      </c>
    </row>
    <row r="56" spans="1:6" x14ac:dyDescent="0.3">
      <c r="A56" t="s">
        <v>59</v>
      </c>
      <c r="B56">
        <v>1</v>
      </c>
      <c r="C56">
        <v>0</v>
      </c>
      <c r="D56">
        <v>1</v>
      </c>
      <c r="E56">
        <v>1</v>
      </c>
      <c r="F56" t="s">
        <v>77</v>
      </c>
    </row>
    <row r="57" spans="1:6" x14ac:dyDescent="0.3">
      <c r="A57" t="s">
        <v>60</v>
      </c>
      <c r="B57">
        <v>1</v>
      </c>
      <c r="C57">
        <v>0</v>
      </c>
      <c r="D57">
        <v>1</v>
      </c>
      <c r="E57">
        <v>1</v>
      </c>
      <c r="F57" t="s">
        <v>75</v>
      </c>
    </row>
    <row r="58" spans="1:6" x14ac:dyDescent="0.3">
      <c r="A58" t="s">
        <v>61</v>
      </c>
      <c r="B58">
        <v>1</v>
      </c>
      <c r="C58">
        <v>1</v>
      </c>
      <c r="D58">
        <v>1</v>
      </c>
      <c r="E58">
        <v>1</v>
      </c>
      <c r="F58" t="s">
        <v>75</v>
      </c>
    </row>
    <row r="59" spans="1:6" x14ac:dyDescent="0.3">
      <c r="A59" t="s">
        <v>62</v>
      </c>
      <c r="B59">
        <v>1</v>
      </c>
      <c r="C59">
        <v>0</v>
      </c>
      <c r="D59">
        <v>1</v>
      </c>
      <c r="E59">
        <v>1</v>
      </c>
      <c r="F59" t="s">
        <v>75</v>
      </c>
    </row>
    <row r="60" spans="1:6" x14ac:dyDescent="0.3">
      <c r="A60" t="s">
        <v>63</v>
      </c>
      <c r="B60">
        <v>1</v>
      </c>
      <c r="C60">
        <v>0</v>
      </c>
      <c r="D60">
        <v>0</v>
      </c>
      <c r="E60">
        <v>0</v>
      </c>
      <c r="F60" t="e">
        <v>#N/A</v>
      </c>
    </row>
    <row r="61" spans="1:6" x14ac:dyDescent="0.3">
      <c r="A61" t="s">
        <v>64</v>
      </c>
      <c r="B61">
        <v>1</v>
      </c>
      <c r="C61">
        <v>0</v>
      </c>
      <c r="D61">
        <v>1</v>
      </c>
      <c r="E61">
        <v>1</v>
      </c>
      <c r="F61" t="s">
        <v>75</v>
      </c>
    </row>
    <row r="62" spans="1:6" x14ac:dyDescent="0.3">
      <c r="A62" t="s">
        <v>65</v>
      </c>
      <c r="B62">
        <v>1</v>
      </c>
      <c r="C62">
        <v>0</v>
      </c>
      <c r="D62">
        <v>0</v>
      </c>
      <c r="E62">
        <v>0</v>
      </c>
      <c r="F62" t="e">
        <v>#N/A</v>
      </c>
    </row>
    <row r="63" spans="1:6" x14ac:dyDescent="0.3">
      <c r="A63" t="s">
        <v>66</v>
      </c>
      <c r="B63">
        <v>1</v>
      </c>
      <c r="C63">
        <v>0</v>
      </c>
      <c r="D63">
        <v>1</v>
      </c>
      <c r="E63">
        <v>0</v>
      </c>
      <c r="F63" t="s">
        <v>75</v>
      </c>
    </row>
    <row r="64" spans="1:6" x14ac:dyDescent="0.3">
      <c r="A64" t="s">
        <v>67</v>
      </c>
      <c r="B64">
        <v>1</v>
      </c>
      <c r="C64">
        <v>1</v>
      </c>
      <c r="D64">
        <v>1</v>
      </c>
      <c r="E64">
        <v>0</v>
      </c>
      <c r="F64" t="s">
        <v>75</v>
      </c>
    </row>
    <row r="65" spans="1:6" x14ac:dyDescent="0.3">
      <c r="A65" t="s">
        <v>68</v>
      </c>
      <c r="B65">
        <v>1</v>
      </c>
      <c r="C65">
        <v>0</v>
      </c>
      <c r="D65">
        <v>1</v>
      </c>
      <c r="E65">
        <v>1</v>
      </c>
      <c r="F65" t="s">
        <v>75</v>
      </c>
    </row>
    <row r="66" spans="1:6" x14ac:dyDescent="0.3">
      <c r="A66" t="s">
        <v>69</v>
      </c>
      <c r="B66">
        <v>1</v>
      </c>
      <c r="C66">
        <v>1</v>
      </c>
      <c r="D66">
        <v>1</v>
      </c>
      <c r="E66">
        <v>1</v>
      </c>
      <c r="F66" t="s">
        <v>77</v>
      </c>
    </row>
    <row r="67" spans="1:6" x14ac:dyDescent="0.3">
      <c r="A67" t="s">
        <v>70</v>
      </c>
      <c r="B67">
        <v>1</v>
      </c>
      <c r="C67">
        <v>0</v>
      </c>
      <c r="D67">
        <v>0</v>
      </c>
      <c r="E67">
        <v>0</v>
      </c>
      <c r="F67" t="s">
        <v>75</v>
      </c>
    </row>
    <row r="68" spans="1:6" x14ac:dyDescent="0.3">
      <c r="A68" t="s">
        <v>71</v>
      </c>
      <c r="B68">
        <v>1</v>
      </c>
      <c r="C68">
        <v>1</v>
      </c>
      <c r="D68">
        <v>1</v>
      </c>
      <c r="E68">
        <v>1</v>
      </c>
      <c r="F68" t="s">
        <v>75</v>
      </c>
    </row>
    <row r="69" spans="1:6" x14ac:dyDescent="0.3">
      <c r="A69" t="s">
        <v>72</v>
      </c>
      <c r="B69">
        <v>1</v>
      </c>
      <c r="C69">
        <v>0</v>
      </c>
      <c r="D69">
        <v>1</v>
      </c>
      <c r="E69">
        <v>1</v>
      </c>
      <c r="F69" t="s">
        <v>75</v>
      </c>
    </row>
    <row r="70" spans="1:6" x14ac:dyDescent="0.3">
      <c r="A70" t="s">
        <v>73</v>
      </c>
      <c r="B70">
        <v>1</v>
      </c>
      <c r="C70">
        <v>0</v>
      </c>
      <c r="D70">
        <v>1</v>
      </c>
      <c r="E70">
        <v>0</v>
      </c>
      <c r="F70" t="s">
        <v>75</v>
      </c>
    </row>
    <row r="71" spans="1:6" x14ac:dyDescent="0.3">
      <c r="A71" t="s">
        <v>74</v>
      </c>
      <c r="B71">
        <v>1</v>
      </c>
      <c r="C71">
        <v>0</v>
      </c>
      <c r="D71">
        <v>0</v>
      </c>
      <c r="E71">
        <v>0</v>
      </c>
      <c r="F71" t="e">
        <v>#N/A</v>
      </c>
    </row>
    <row r="72" spans="1:6" x14ac:dyDescent="0.3">
      <c r="A72" t="s">
        <v>120</v>
      </c>
      <c r="B72">
        <v>0</v>
      </c>
      <c r="C72">
        <v>1</v>
      </c>
      <c r="D72">
        <v>0</v>
      </c>
      <c r="E72">
        <v>0</v>
      </c>
      <c r="F72" t="s">
        <v>130</v>
      </c>
    </row>
    <row r="73" spans="1:6" x14ac:dyDescent="0.3">
      <c r="A73" t="s">
        <v>92</v>
      </c>
      <c r="B73">
        <v>0</v>
      </c>
      <c r="C73">
        <v>1</v>
      </c>
      <c r="D73">
        <v>1</v>
      </c>
      <c r="E73">
        <v>1</v>
      </c>
      <c r="F73" t="s">
        <v>132</v>
      </c>
    </row>
    <row r="74" spans="1:6" x14ac:dyDescent="0.3">
      <c r="A74" t="s">
        <v>93</v>
      </c>
      <c r="B74">
        <v>0</v>
      </c>
      <c r="C74">
        <v>1</v>
      </c>
      <c r="D74">
        <v>1</v>
      </c>
      <c r="E74">
        <v>1</v>
      </c>
      <c r="F74" t="s">
        <v>133</v>
      </c>
    </row>
    <row r="75" spans="1:6" x14ac:dyDescent="0.3">
      <c r="A75" t="s">
        <v>94</v>
      </c>
      <c r="B75">
        <v>0</v>
      </c>
      <c r="C75">
        <v>1</v>
      </c>
      <c r="D75">
        <v>1</v>
      </c>
      <c r="E75">
        <v>0</v>
      </c>
      <c r="F75" t="s">
        <v>134</v>
      </c>
    </row>
    <row r="76" spans="1:6" x14ac:dyDescent="0.3">
      <c r="A76" t="s">
        <v>95</v>
      </c>
      <c r="B76">
        <v>0</v>
      </c>
      <c r="C76">
        <v>1</v>
      </c>
      <c r="D76">
        <v>0</v>
      </c>
      <c r="E76">
        <v>1</v>
      </c>
      <c r="F76" t="s">
        <v>135</v>
      </c>
    </row>
    <row r="77" spans="1:6" x14ac:dyDescent="0.3">
      <c r="A77" t="s">
        <v>123</v>
      </c>
      <c r="B77">
        <v>0</v>
      </c>
      <c r="C77">
        <v>1</v>
      </c>
      <c r="D77">
        <v>0</v>
      </c>
      <c r="E77">
        <v>0</v>
      </c>
      <c r="F77" t="s">
        <v>77</v>
      </c>
    </row>
    <row r="78" spans="1:6" x14ac:dyDescent="0.3">
      <c r="A78" t="s">
        <v>96</v>
      </c>
      <c r="B78">
        <v>0</v>
      </c>
      <c r="C78">
        <v>1</v>
      </c>
      <c r="D78">
        <v>0</v>
      </c>
      <c r="E78">
        <v>0</v>
      </c>
      <c r="F78" t="s">
        <v>138</v>
      </c>
    </row>
    <row r="79" spans="1:6" x14ac:dyDescent="0.3">
      <c r="A79" t="s">
        <v>97</v>
      </c>
      <c r="B79">
        <v>0</v>
      </c>
      <c r="C79">
        <v>1</v>
      </c>
      <c r="D79">
        <v>1</v>
      </c>
      <c r="E79">
        <v>0</v>
      </c>
      <c r="F79" t="s">
        <v>134</v>
      </c>
    </row>
    <row r="80" spans="1:6" x14ac:dyDescent="0.3">
      <c r="A80" t="s">
        <v>124</v>
      </c>
      <c r="B80">
        <v>0</v>
      </c>
      <c r="C80">
        <v>1</v>
      </c>
      <c r="D80">
        <v>0</v>
      </c>
      <c r="E80">
        <v>0</v>
      </c>
      <c r="F80" t="s">
        <v>77</v>
      </c>
    </row>
    <row r="81" spans="1:6" x14ac:dyDescent="0.3">
      <c r="A81" t="s">
        <v>125</v>
      </c>
      <c r="B81">
        <v>0</v>
      </c>
      <c r="C81">
        <v>1</v>
      </c>
      <c r="D81">
        <v>0</v>
      </c>
      <c r="E81">
        <v>0</v>
      </c>
      <c r="F81" t="s">
        <v>130</v>
      </c>
    </row>
    <row r="82" spans="1:6" x14ac:dyDescent="0.3">
      <c r="A82" t="s">
        <v>122</v>
      </c>
      <c r="B82">
        <v>0</v>
      </c>
      <c r="C82">
        <v>1</v>
      </c>
      <c r="D82">
        <v>0</v>
      </c>
      <c r="E82">
        <v>0</v>
      </c>
      <c r="F82" t="s">
        <v>131</v>
      </c>
    </row>
    <row r="83" spans="1:6" x14ac:dyDescent="0.3">
      <c r="A83" t="s">
        <v>98</v>
      </c>
      <c r="B83">
        <v>0</v>
      </c>
      <c r="C83">
        <v>1</v>
      </c>
      <c r="D83">
        <v>1</v>
      </c>
      <c r="E83">
        <v>0</v>
      </c>
      <c r="F83" t="s">
        <v>134</v>
      </c>
    </row>
    <row r="84" spans="1:6" x14ac:dyDescent="0.3">
      <c r="A84" t="s">
        <v>99</v>
      </c>
      <c r="B84">
        <v>0</v>
      </c>
      <c r="C84">
        <v>1</v>
      </c>
      <c r="D84">
        <v>1</v>
      </c>
      <c r="E84">
        <v>1</v>
      </c>
      <c r="F84" t="s">
        <v>136</v>
      </c>
    </row>
    <row r="85" spans="1:6" x14ac:dyDescent="0.3">
      <c r="A85" t="s">
        <v>223</v>
      </c>
      <c r="B85">
        <v>0</v>
      </c>
      <c r="C85">
        <v>1</v>
      </c>
      <c r="D85">
        <v>0</v>
      </c>
      <c r="E85">
        <v>0</v>
      </c>
      <c r="F85" t="s">
        <v>77</v>
      </c>
    </row>
    <row r="86" spans="1:6" x14ac:dyDescent="0.3">
      <c r="A86" t="s">
        <v>227</v>
      </c>
      <c r="B86">
        <v>0</v>
      </c>
      <c r="C86">
        <v>1</v>
      </c>
      <c r="D86">
        <v>0</v>
      </c>
      <c r="E86">
        <v>0</v>
      </c>
      <c r="F86" t="s">
        <v>130</v>
      </c>
    </row>
    <row r="87" spans="1:6" x14ac:dyDescent="0.3">
      <c r="A87" t="s">
        <v>121</v>
      </c>
      <c r="B87">
        <v>0</v>
      </c>
      <c r="C87">
        <v>1</v>
      </c>
      <c r="D87">
        <v>0</v>
      </c>
      <c r="E87">
        <v>0</v>
      </c>
      <c r="F87" t="s">
        <v>131</v>
      </c>
    </row>
    <row r="88" spans="1:6" x14ac:dyDescent="0.3">
      <c r="A88" t="s">
        <v>100</v>
      </c>
      <c r="B88">
        <v>0</v>
      </c>
      <c r="C88">
        <v>1</v>
      </c>
      <c r="D88">
        <v>1</v>
      </c>
      <c r="E88">
        <v>0</v>
      </c>
      <c r="F88" t="s">
        <v>134</v>
      </c>
    </row>
    <row r="89" spans="1:6" x14ac:dyDescent="0.3">
      <c r="A89" t="s">
        <v>101</v>
      </c>
      <c r="B89">
        <v>0</v>
      </c>
      <c r="C89">
        <v>1</v>
      </c>
      <c r="D89">
        <v>1</v>
      </c>
      <c r="E89">
        <v>1</v>
      </c>
      <c r="F89" t="s">
        <v>77</v>
      </c>
    </row>
    <row r="90" spans="1:6" x14ac:dyDescent="0.3">
      <c r="A90" t="s">
        <v>126</v>
      </c>
      <c r="B90">
        <v>0</v>
      </c>
      <c r="C90">
        <v>1</v>
      </c>
      <c r="D90">
        <v>0</v>
      </c>
      <c r="E90">
        <v>0</v>
      </c>
      <c r="F90" t="s">
        <v>77</v>
      </c>
    </row>
    <row r="91" spans="1:6" x14ac:dyDescent="0.3">
      <c r="A91" t="s">
        <v>102</v>
      </c>
      <c r="B91">
        <v>0</v>
      </c>
      <c r="C91">
        <v>1</v>
      </c>
      <c r="D91">
        <v>0</v>
      </c>
      <c r="E91">
        <v>1</v>
      </c>
      <c r="F91" t="s">
        <v>135</v>
      </c>
    </row>
    <row r="92" spans="1:6" x14ac:dyDescent="0.3">
      <c r="A92" t="s">
        <v>103</v>
      </c>
      <c r="B92">
        <v>0</v>
      </c>
      <c r="C92">
        <v>1</v>
      </c>
      <c r="D92">
        <v>1</v>
      </c>
      <c r="E92">
        <v>1</v>
      </c>
      <c r="F92" t="s">
        <v>77</v>
      </c>
    </row>
    <row r="93" spans="1:6" x14ac:dyDescent="0.3">
      <c r="A93" t="s">
        <v>226</v>
      </c>
      <c r="B93">
        <v>0</v>
      </c>
      <c r="C93">
        <v>1</v>
      </c>
      <c r="D93">
        <v>0</v>
      </c>
      <c r="E93">
        <v>0</v>
      </c>
      <c r="F93" t="s">
        <v>137</v>
      </c>
    </row>
    <row r="94" spans="1:6" x14ac:dyDescent="0.3">
      <c r="A94" t="s">
        <v>104</v>
      </c>
      <c r="B94">
        <v>0</v>
      </c>
      <c r="C94">
        <v>1</v>
      </c>
      <c r="D94">
        <v>1</v>
      </c>
      <c r="E94">
        <v>0</v>
      </c>
      <c r="F94" t="s">
        <v>77</v>
      </c>
    </row>
    <row r="95" spans="1:6" x14ac:dyDescent="0.3">
      <c r="A95" t="s">
        <v>105</v>
      </c>
      <c r="B95">
        <v>0</v>
      </c>
      <c r="C95">
        <v>1</v>
      </c>
      <c r="D95">
        <v>1</v>
      </c>
      <c r="E95">
        <v>1</v>
      </c>
      <c r="F95" t="s">
        <v>136</v>
      </c>
    </row>
    <row r="96" spans="1:6" x14ac:dyDescent="0.3">
      <c r="A96" t="s">
        <v>127</v>
      </c>
      <c r="B96">
        <v>0</v>
      </c>
      <c r="C96">
        <v>1</v>
      </c>
      <c r="D96">
        <v>0</v>
      </c>
      <c r="E96">
        <v>0</v>
      </c>
      <c r="F96" t="s">
        <v>77</v>
      </c>
    </row>
    <row r="97" spans="1:6" x14ac:dyDescent="0.3">
      <c r="A97" t="s">
        <v>106</v>
      </c>
      <c r="B97">
        <v>0</v>
      </c>
      <c r="C97">
        <v>1</v>
      </c>
      <c r="D97">
        <v>1</v>
      </c>
      <c r="E97">
        <v>1</v>
      </c>
      <c r="F97" t="s">
        <v>75</v>
      </c>
    </row>
    <row r="98" spans="1:6" x14ac:dyDescent="0.3">
      <c r="A98" t="s">
        <v>107</v>
      </c>
      <c r="B98">
        <v>0</v>
      </c>
      <c r="C98">
        <v>1</v>
      </c>
      <c r="D98">
        <v>1</v>
      </c>
      <c r="E98">
        <v>1</v>
      </c>
      <c r="F98" t="s">
        <v>75</v>
      </c>
    </row>
    <row r="99" spans="1:6" x14ac:dyDescent="0.3">
      <c r="A99" t="s">
        <v>108</v>
      </c>
      <c r="B99">
        <v>0</v>
      </c>
      <c r="C99">
        <v>1</v>
      </c>
      <c r="D99">
        <v>0</v>
      </c>
      <c r="E99">
        <v>0</v>
      </c>
      <c r="F99" t="s">
        <v>77</v>
      </c>
    </row>
    <row r="100" spans="1:6" x14ac:dyDescent="0.3">
      <c r="A100" t="s">
        <v>224</v>
      </c>
      <c r="B100">
        <v>0</v>
      </c>
      <c r="C100">
        <v>1</v>
      </c>
      <c r="D100">
        <v>0</v>
      </c>
      <c r="E100">
        <v>0</v>
      </c>
      <c r="F100" t="s">
        <v>75</v>
      </c>
    </row>
    <row r="101" spans="1:6" x14ac:dyDescent="0.3">
      <c r="A101" t="s">
        <v>109</v>
      </c>
      <c r="B101">
        <v>0</v>
      </c>
      <c r="C101">
        <v>1</v>
      </c>
      <c r="D101">
        <v>1</v>
      </c>
      <c r="E101">
        <v>0</v>
      </c>
      <c r="F101" t="s">
        <v>134</v>
      </c>
    </row>
    <row r="102" spans="1:6" x14ac:dyDescent="0.3">
      <c r="A102" t="s">
        <v>110</v>
      </c>
      <c r="B102">
        <v>0</v>
      </c>
      <c r="C102">
        <v>1</v>
      </c>
      <c r="D102">
        <v>1</v>
      </c>
      <c r="E102">
        <v>1</v>
      </c>
      <c r="F102" t="s">
        <v>75</v>
      </c>
    </row>
    <row r="103" spans="1:6" x14ac:dyDescent="0.3">
      <c r="A103" t="s">
        <v>111</v>
      </c>
      <c r="B103">
        <v>0</v>
      </c>
      <c r="C103">
        <v>1</v>
      </c>
      <c r="D103">
        <v>0</v>
      </c>
      <c r="E103">
        <v>1</v>
      </c>
      <c r="F103" t="s">
        <v>135</v>
      </c>
    </row>
    <row r="104" spans="1:6" x14ac:dyDescent="0.3">
      <c r="A104" t="s">
        <v>112</v>
      </c>
      <c r="B104">
        <v>0</v>
      </c>
      <c r="C104">
        <v>1</v>
      </c>
      <c r="D104">
        <v>0</v>
      </c>
      <c r="E104">
        <v>0</v>
      </c>
      <c r="F104" t="s">
        <v>77</v>
      </c>
    </row>
    <row r="105" spans="1:6" x14ac:dyDescent="0.3">
      <c r="A105" t="s">
        <v>113</v>
      </c>
      <c r="B105">
        <v>0</v>
      </c>
      <c r="C105">
        <v>1</v>
      </c>
      <c r="D105">
        <v>1</v>
      </c>
      <c r="E105">
        <v>1</v>
      </c>
      <c r="F105" t="s">
        <v>75</v>
      </c>
    </row>
    <row r="106" spans="1:6" x14ac:dyDescent="0.3">
      <c r="A106" t="s">
        <v>114</v>
      </c>
      <c r="B106">
        <v>0</v>
      </c>
      <c r="C106">
        <v>1</v>
      </c>
      <c r="D106">
        <v>0</v>
      </c>
      <c r="E106">
        <v>1</v>
      </c>
      <c r="F106" t="s">
        <v>135</v>
      </c>
    </row>
    <row r="107" spans="1:6" x14ac:dyDescent="0.3">
      <c r="A107" t="s">
        <v>115</v>
      </c>
      <c r="B107">
        <v>0</v>
      </c>
      <c r="C107">
        <v>1</v>
      </c>
      <c r="D107">
        <v>0</v>
      </c>
      <c r="E107">
        <v>0</v>
      </c>
      <c r="F107" t="s">
        <v>135</v>
      </c>
    </row>
    <row r="108" spans="1:6" x14ac:dyDescent="0.3">
      <c r="A108" t="s">
        <v>116</v>
      </c>
      <c r="B108">
        <v>0</v>
      </c>
      <c r="C108">
        <v>1</v>
      </c>
      <c r="D108">
        <v>1</v>
      </c>
      <c r="E108">
        <v>1</v>
      </c>
      <c r="F108" t="s">
        <v>133</v>
      </c>
    </row>
    <row r="109" spans="1:6" x14ac:dyDescent="0.3">
      <c r="A109" t="s">
        <v>117</v>
      </c>
      <c r="B109">
        <v>0</v>
      </c>
      <c r="C109">
        <v>1</v>
      </c>
      <c r="D109">
        <v>0</v>
      </c>
      <c r="E109">
        <v>1</v>
      </c>
      <c r="F109" t="s">
        <v>135</v>
      </c>
    </row>
    <row r="110" spans="1:6" x14ac:dyDescent="0.3">
      <c r="A110" t="s">
        <v>118</v>
      </c>
      <c r="B110">
        <v>0</v>
      </c>
      <c r="C110">
        <v>1</v>
      </c>
      <c r="D110">
        <v>1</v>
      </c>
      <c r="E110">
        <v>1</v>
      </c>
      <c r="F110" t="s">
        <v>136</v>
      </c>
    </row>
    <row r="111" spans="1:6" x14ac:dyDescent="0.3">
      <c r="A111" t="s">
        <v>128</v>
      </c>
      <c r="B111">
        <v>0</v>
      </c>
      <c r="C111">
        <v>1</v>
      </c>
      <c r="D111">
        <v>0</v>
      </c>
      <c r="E111">
        <v>0</v>
      </c>
      <c r="F111" t="s">
        <v>77</v>
      </c>
    </row>
    <row r="112" spans="1:6" x14ac:dyDescent="0.3">
      <c r="A112" t="s">
        <v>119</v>
      </c>
      <c r="B112">
        <v>0</v>
      </c>
      <c r="C112">
        <v>1</v>
      </c>
      <c r="D112">
        <v>0</v>
      </c>
      <c r="E112">
        <v>0</v>
      </c>
      <c r="F112" t="s">
        <v>75</v>
      </c>
    </row>
  </sheetData>
  <autoFilter ref="A1:F11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F2AB-BE5B-40D8-A994-0EF63F6C2FFC}">
  <dimension ref="A1:K92"/>
  <sheetViews>
    <sheetView workbookViewId="0">
      <pane ySplit="1" topLeftCell="A2" activePane="bottomLeft" state="frozen"/>
      <selection pane="bottomLeft" activeCell="O6" sqref="O6"/>
    </sheetView>
  </sheetViews>
  <sheetFormatPr defaultColWidth="11.5546875" defaultRowHeight="14.4" x14ac:dyDescent="0.3"/>
  <cols>
    <col min="2" max="2" width="12.77734375" customWidth="1"/>
    <col min="3" max="3" width="11" customWidth="1"/>
    <col min="4" max="4" width="11.44140625" customWidth="1"/>
    <col min="5" max="5" width="12" customWidth="1"/>
    <col min="6" max="6" width="10.44140625" customWidth="1"/>
    <col min="7" max="7" width="13.5546875" customWidth="1"/>
    <col min="10" max="10" width="11.88671875" customWidth="1"/>
  </cols>
  <sheetData>
    <row r="1" spans="1:11" ht="40.200000000000003" customHeight="1" x14ac:dyDescent="0.3">
      <c r="A1" s="13" t="s">
        <v>0</v>
      </c>
      <c r="B1" s="13" t="s">
        <v>139</v>
      </c>
      <c r="C1" s="13" t="s">
        <v>140</v>
      </c>
      <c r="D1" s="13" t="s">
        <v>141</v>
      </c>
      <c r="E1" s="13" t="s">
        <v>142</v>
      </c>
      <c r="F1" s="13" t="s">
        <v>143</v>
      </c>
      <c r="G1" s="13" t="s">
        <v>225</v>
      </c>
    </row>
    <row r="2" spans="1:11" x14ac:dyDescent="0.3">
      <c r="A2" t="s">
        <v>5</v>
      </c>
      <c r="B2">
        <v>16.41</v>
      </c>
      <c r="C2" s="1">
        <v>5.6800000000000015</v>
      </c>
      <c r="D2" s="1">
        <v>23.060000000000002</v>
      </c>
      <c r="E2" s="1">
        <v>21.810000000000002</v>
      </c>
      <c r="F2" s="1">
        <v>25.75</v>
      </c>
      <c r="G2" s="9">
        <v>2.3226629474024062E-2</v>
      </c>
      <c r="H2" t="str">
        <f>VLOOKUP(A2,$J$2:$K$92,2,FALSE)</f>
        <v>Caa</v>
      </c>
      <c r="J2" t="s">
        <v>5</v>
      </c>
      <c r="K2" t="s">
        <v>75</v>
      </c>
    </row>
    <row r="3" spans="1:11" x14ac:dyDescent="0.3">
      <c r="A3" t="s">
        <v>6</v>
      </c>
      <c r="B3">
        <v>14.66</v>
      </c>
      <c r="C3" s="1">
        <v>3.4399999999999991</v>
      </c>
      <c r="D3" s="1">
        <v>14.3</v>
      </c>
      <c r="E3" s="1">
        <v>14.530000000000001</v>
      </c>
      <c r="F3" s="1">
        <v>44.759999999999991</v>
      </c>
      <c r="G3" s="9">
        <v>4.7316263878932355E-2</v>
      </c>
      <c r="H3" t="e">
        <f t="shared" ref="H3:H66" si="0">VLOOKUP(A3,$J$2:$K$92,2,FALSE)</f>
        <v>#N/A</v>
      </c>
      <c r="J3" t="s">
        <v>27</v>
      </c>
      <c r="K3" t="s">
        <v>75</v>
      </c>
    </row>
    <row r="4" spans="1:11" x14ac:dyDescent="0.3">
      <c r="A4" t="s">
        <v>7</v>
      </c>
      <c r="B4">
        <v>15.2</v>
      </c>
      <c r="C4" s="1">
        <v>2.68</v>
      </c>
      <c r="D4" s="1">
        <v>10.34</v>
      </c>
      <c r="E4" s="1">
        <v>10.76</v>
      </c>
      <c r="F4" s="1">
        <v>42.230000000000004</v>
      </c>
      <c r="G4" s="9">
        <v>3.6848631897203325E-2</v>
      </c>
      <c r="H4" t="e">
        <f t="shared" si="0"/>
        <v>#N/A</v>
      </c>
      <c r="J4" t="s">
        <v>34</v>
      </c>
      <c r="K4" t="s">
        <v>75</v>
      </c>
    </row>
    <row r="5" spans="1:11" x14ac:dyDescent="0.3">
      <c r="A5" t="s">
        <v>9</v>
      </c>
      <c r="B5">
        <v>17.98</v>
      </c>
      <c r="C5" s="1">
        <v>1.9000000000000004</v>
      </c>
      <c r="D5" s="1">
        <v>9.8699999999999992</v>
      </c>
      <c r="E5" s="1">
        <v>9.24</v>
      </c>
      <c r="F5" s="1">
        <v>37.059999999999995</v>
      </c>
      <c r="G5" s="9">
        <v>6.0266940077466399E-2</v>
      </c>
      <c r="H5" t="e">
        <f t="shared" si="0"/>
        <v>#N/A</v>
      </c>
      <c r="J5" t="s">
        <v>47</v>
      </c>
      <c r="K5" t="s">
        <v>75</v>
      </c>
    </row>
    <row r="6" spans="1:11" x14ac:dyDescent="0.3">
      <c r="A6" t="s">
        <v>10</v>
      </c>
      <c r="B6">
        <v>14.63</v>
      </c>
      <c r="C6" s="1">
        <v>5.9000000000000012</v>
      </c>
      <c r="D6" s="1">
        <v>20.2</v>
      </c>
      <c r="E6" s="1">
        <v>19.583333333333332</v>
      </c>
      <c r="F6" s="1">
        <v>55.5</v>
      </c>
      <c r="G6" s="9">
        <v>2.4354925273929452E-2</v>
      </c>
      <c r="H6" t="e">
        <f t="shared" si="0"/>
        <v>#N/A</v>
      </c>
      <c r="J6" t="s">
        <v>50</v>
      </c>
      <c r="K6" t="s">
        <v>75</v>
      </c>
    </row>
    <row r="7" spans="1:11" x14ac:dyDescent="0.3">
      <c r="A7" t="s">
        <v>116</v>
      </c>
      <c r="B7">
        <v>14.025</v>
      </c>
      <c r="C7" s="1">
        <v>0.5</v>
      </c>
      <c r="D7" s="1">
        <v>9</v>
      </c>
      <c r="E7" s="1">
        <v>9.5500000000000007</v>
      </c>
      <c r="F7" s="1">
        <v>12.9</v>
      </c>
      <c r="G7" s="9">
        <v>6.7799999999999999E-2</v>
      </c>
      <c r="H7" t="e">
        <f t="shared" si="0"/>
        <v>#N/A</v>
      </c>
      <c r="J7" t="s">
        <v>145</v>
      </c>
      <c r="K7" t="s">
        <v>75</v>
      </c>
    </row>
    <row r="8" spans="1:11" x14ac:dyDescent="0.3">
      <c r="A8" t="s">
        <v>11</v>
      </c>
      <c r="B8">
        <v>15.27</v>
      </c>
      <c r="C8" s="1">
        <v>3.96</v>
      </c>
      <c r="D8" s="1">
        <v>14.52</v>
      </c>
      <c r="E8" s="1">
        <v>15.12</v>
      </c>
      <c r="F8" s="1">
        <v>51.220000000000006</v>
      </c>
      <c r="G8" s="9">
        <v>2.6077715770068711E-2</v>
      </c>
      <c r="H8" t="e">
        <f t="shared" si="0"/>
        <v>#N/A</v>
      </c>
      <c r="J8" t="s">
        <v>54</v>
      </c>
      <c r="K8" t="s">
        <v>75</v>
      </c>
    </row>
    <row r="9" spans="1:11" x14ac:dyDescent="0.3">
      <c r="A9" t="s">
        <v>12</v>
      </c>
      <c r="B9">
        <v>17.850000000000001</v>
      </c>
      <c r="C9" s="1">
        <v>5.2666666666666666</v>
      </c>
      <c r="D9" s="1">
        <v>17.133333333333336</v>
      </c>
      <c r="E9" s="1">
        <v>15.9</v>
      </c>
      <c r="F9" s="1">
        <v>48.75</v>
      </c>
      <c r="G9" s="9">
        <v>4.8427083333333336E-2</v>
      </c>
      <c r="H9" t="e">
        <f t="shared" si="0"/>
        <v>#N/A</v>
      </c>
      <c r="J9" t="s">
        <v>110</v>
      </c>
      <c r="K9" t="s">
        <v>75</v>
      </c>
    </row>
    <row r="10" spans="1:11" x14ac:dyDescent="0.3">
      <c r="A10" t="s">
        <v>13</v>
      </c>
      <c r="B10">
        <v>6.7</v>
      </c>
      <c r="C10" s="1">
        <v>4.8299999999999996E-2</v>
      </c>
      <c r="D10" s="1">
        <v>3.78</v>
      </c>
      <c r="E10" s="1">
        <v>3.7300000000000004</v>
      </c>
      <c r="F10" s="1">
        <v>6.2200000000000006</v>
      </c>
      <c r="G10" s="9">
        <v>0.18174923881606359</v>
      </c>
      <c r="H10" t="e">
        <f t="shared" si="0"/>
        <v>#N/A</v>
      </c>
      <c r="J10" t="s">
        <v>21</v>
      </c>
      <c r="K10" t="s">
        <v>75</v>
      </c>
    </row>
    <row r="11" spans="1:11" x14ac:dyDescent="0.3">
      <c r="A11" t="s">
        <v>14</v>
      </c>
      <c r="B11">
        <v>15.48</v>
      </c>
      <c r="C11" s="1">
        <v>0.91999999999999993</v>
      </c>
      <c r="D11" s="1">
        <v>10.219999999999999</v>
      </c>
      <c r="E11" s="1">
        <v>10.36</v>
      </c>
      <c r="F11" s="1">
        <v>16.660000000000004</v>
      </c>
      <c r="G11" s="9">
        <v>0.11101115384615383</v>
      </c>
      <c r="H11" t="e">
        <f t="shared" si="0"/>
        <v>#N/A</v>
      </c>
      <c r="J11" t="s">
        <v>23</v>
      </c>
      <c r="K11" t="s">
        <v>75</v>
      </c>
    </row>
    <row r="12" spans="1:11" x14ac:dyDescent="0.3">
      <c r="A12" t="s">
        <v>15</v>
      </c>
      <c r="B12">
        <v>10.540000000000001</v>
      </c>
      <c r="C12" s="1">
        <v>0.11739999999999999</v>
      </c>
      <c r="D12" s="1">
        <v>5.09</v>
      </c>
      <c r="E12" s="1">
        <v>4.5600000000000005</v>
      </c>
      <c r="F12" s="1">
        <v>8.0400000000000009</v>
      </c>
      <c r="G12" s="9">
        <v>0.14470555114927899</v>
      </c>
      <c r="H12" t="e">
        <f t="shared" si="0"/>
        <v>#N/A</v>
      </c>
      <c r="J12" t="s">
        <v>146</v>
      </c>
      <c r="K12" t="s">
        <v>130</v>
      </c>
    </row>
    <row r="13" spans="1:11" x14ac:dyDescent="0.3">
      <c r="A13" t="s">
        <v>20</v>
      </c>
      <c r="B13">
        <v>13.040000000000001</v>
      </c>
      <c r="C13" s="1">
        <v>1.9</v>
      </c>
      <c r="D13" s="1">
        <v>8.84</v>
      </c>
      <c r="E13" s="1">
        <v>9.09</v>
      </c>
      <c r="F13" s="1">
        <v>52.48</v>
      </c>
      <c r="G13" s="9">
        <v>4.5228674948240163E-2</v>
      </c>
      <c r="H13" t="e">
        <f t="shared" si="0"/>
        <v>#N/A</v>
      </c>
      <c r="J13" t="s">
        <v>32</v>
      </c>
      <c r="K13" t="s">
        <v>75</v>
      </c>
    </row>
    <row r="14" spans="1:11" x14ac:dyDescent="0.3">
      <c r="A14" t="s">
        <v>21</v>
      </c>
      <c r="B14">
        <v>14.49</v>
      </c>
      <c r="C14" s="1">
        <v>3.2800000000000002</v>
      </c>
      <c r="D14" s="1">
        <v>11.7</v>
      </c>
      <c r="E14" s="1">
        <v>13.63</v>
      </c>
      <c r="F14" s="1">
        <v>42.48</v>
      </c>
      <c r="G14" s="9">
        <v>3.641203565062389E-2</v>
      </c>
      <c r="H14" t="str">
        <f t="shared" si="0"/>
        <v>Caa</v>
      </c>
      <c r="J14" t="s">
        <v>37</v>
      </c>
      <c r="K14" t="s">
        <v>75</v>
      </c>
    </row>
    <row r="15" spans="1:11" x14ac:dyDescent="0.3">
      <c r="A15" t="s">
        <v>22</v>
      </c>
      <c r="B15">
        <v>13.419999999999998</v>
      </c>
      <c r="C15" s="1">
        <v>2.38</v>
      </c>
      <c r="D15" s="1">
        <v>15.820000000000002</v>
      </c>
      <c r="E15" s="1">
        <v>10.27</v>
      </c>
      <c r="F15" s="1">
        <v>38.58</v>
      </c>
      <c r="G15" s="9">
        <v>2.9453902357576972E-2</v>
      </c>
      <c r="H15" t="e">
        <f t="shared" si="0"/>
        <v>#N/A</v>
      </c>
      <c r="J15" t="s">
        <v>64</v>
      </c>
      <c r="K15" t="s">
        <v>75</v>
      </c>
    </row>
    <row r="16" spans="1:11" x14ac:dyDescent="0.3">
      <c r="A16" t="s">
        <v>23</v>
      </c>
      <c r="B16">
        <v>15.709999999999999</v>
      </c>
      <c r="C16" s="1">
        <v>1.48</v>
      </c>
      <c r="D16" s="1">
        <v>10.930000000000001</v>
      </c>
      <c r="E16" s="1">
        <v>10.999999999999998</v>
      </c>
      <c r="F16" s="1">
        <v>25</v>
      </c>
      <c r="G16" s="9">
        <v>4.3264985994397757E-2</v>
      </c>
      <c r="H16" t="str">
        <f t="shared" si="0"/>
        <v>Caa</v>
      </c>
      <c r="J16" t="s">
        <v>71</v>
      </c>
      <c r="K16" t="s">
        <v>75</v>
      </c>
    </row>
    <row r="17" spans="1:11" x14ac:dyDescent="0.3">
      <c r="A17" t="s">
        <v>24</v>
      </c>
      <c r="B17">
        <v>14.920000000000002</v>
      </c>
      <c r="C17" s="1">
        <v>1.0399999999999998</v>
      </c>
      <c r="D17" s="1">
        <v>13.99</v>
      </c>
      <c r="E17" s="1">
        <v>12.9</v>
      </c>
      <c r="F17" s="1">
        <v>20.28</v>
      </c>
      <c r="G17" s="9">
        <v>5.5948282828282826E-2</v>
      </c>
      <c r="H17" t="e">
        <f t="shared" si="0"/>
        <v>#N/A</v>
      </c>
      <c r="J17" t="s">
        <v>117</v>
      </c>
      <c r="K17" t="s">
        <v>135</v>
      </c>
    </row>
    <row r="18" spans="1:11" x14ac:dyDescent="0.3">
      <c r="A18" t="s">
        <v>25</v>
      </c>
      <c r="B18">
        <v>12.86</v>
      </c>
      <c r="C18" s="1">
        <v>0.86</v>
      </c>
      <c r="D18" s="1">
        <v>8.82</v>
      </c>
      <c r="E18" s="1">
        <v>9.0599999999999987</v>
      </c>
      <c r="F18" s="1">
        <v>19.880000000000003</v>
      </c>
      <c r="G18" s="9">
        <v>6.3650000000000012E-2</v>
      </c>
      <c r="H18" t="e">
        <f t="shared" si="0"/>
        <v>#N/A</v>
      </c>
      <c r="J18" t="s">
        <v>106</v>
      </c>
      <c r="K18" t="s">
        <v>75</v>
      </c>
    </row>
    <row r="19" spans="1:11" x14ac:dyDescent="0.3">
      <c r="A19" t="s">
        <v>26</v>
      </c>
      <c r="B19">
        <v>15.960000000000003</v>
      </c>
      <c r="C19" s="1">
        <v>7.6000000000000005</v>
      </c>
      <c r="D19" s="1">
        <v>25.883333333333336</v>
      </c>
      <c r="E19" s="1">
        <v>25.399999999999995</v>
      </c>
      <c r="F19" s="1">
        <v>48.866666666666667</v>
      </c>
      <c r="G19" s="9">
        <v>1.4054380929044005E-2</v>
      </c>
      <c r="H19" t="e">
        <f t="shared" si="0"/>
        <v>#N/A</v>
      </c>
      <c r="J19" t="s">
        <v>118</v>
      </c>
      <c r="K19" t="s">
        <v>138</v>
      </c>
    </row>
    <row r="20" spans="1:11" x14ac:dyDescent="0.3">
      <c r="A20" t="s">
        <v>27</v>
      </c>
      <c r="B20">
        <v>15.689999999999998</v>
      </c>
      <c r="C20" s="1">
        <v>3.8</v>
      </c>
      <c r="D20" s="1">
        <v>19.09</v>
      </c>
      <c r="E20" s="1">
        <v>18.399999999999999</v>
      </c>
      <c r="F20" s="1">
        <v>41.92</v>
      </c>
      <c r="G20" s="9">
        <v>3.0719202597950229E-2</v>
      </c>
      <c r="H20" t="str">
        <f t="shared" si="0"/>
        <v>Caa</v>
      </c>
      <c r="J20" t="s">
        <v>95</v>
      </c>
      <c r="K20" t="s">
        <v>135</v>
      </c>
    </row>
    <row r="21" spans="1:11" x14ac:dyDescent="0.3">
      <c r="A21" t="s">
        <v>28</v>
      </c>
      <c r="B21">
        <v>16.04</v>
      </c>
      <c r="C21" s="1">
        <v>0.74</v>
      </c>
      <c r="D21" s="1">
        <v>7.2799999999999994</v>
      </c>
      <c r="E21" s="1">
        <v>7</v>
      </c>
      <c r="F21" s="1">
        <v>25.919999999999998</v>
      </c>
      <c r="G21" s="9">
        <v>8.581309523809523E-2</v>
      </c>
      <c r="H21" t="e">
        <f t="shared" si="0"/>
        <v>#N/A</v>
      </c>
      <c r="J21" t="s">
        <v>102</v>
      </c>
      <c r="K21" t="s">
        <v>135</v>
      </c>
    </row>
    <row r="22" spans="1:11" x14ac:dyDescent="0.3">
      <c r="A22" t="s">
        <v>29</v>
      </c>
      <c r="B22">
        <v>10.690000000000001</v>
      </c>
      <c r="C22" s="1">
        <v>0.16404000000000002</v>
      </c>
      <c r="D22" s="1">
        <v>5.54</v>
      </c>
      <c r="E22" s="1">
        <v>5.49</v>
      </c>
      <c r="F22" s="1">
        <v>9.1799999999999979</v>
      </c>
      <c r="G22" s="9">
        <v>0.20966811761805956</v>
      </c>
      <c r="H22" t="e">
        <f t="shared" si="0"/>
        <v>#N/A</v>
      </c>
      <c r="J22" t="s">
        <v>103</v>
      </c>
      <c r="K22" t="s">
        <v>77</v>
      </c>
    </row>
    <row r="23" spans="1:11" x14ac:dyDescent="0.3">
      <c r="A23" t="s">
        <v>30</v>
      </c>
      <c r="B23">
        <v>8.89</v>
      </c>
      <c r="C23" s="1">
        <v>0.15496000000000001</v>
      </c>
      <c r="D23" s="1">
        <v>5.5900000000000007</v>
      </c>
      <c r="E23" s="1">
        <v>5.5299999999999994</v>
      </c>
      <c r="F23" s="1">
        <v>8.7700000000000014</v>
      </c>
      <c r="G23" s="9">
        <v>0.19562132896389356</v>
      </c>
      <c r="H23" t="e">
        <f t="shared" si="0"/>
        <v>#N/A</v>
      </c>
      <c r="J23" t="s">
        <v>114</v>
      </c>
      <c r="K23" t="s">
        <v>135</v>
      </c>
    </row>
    <row r="24" spans="1:11" x14ac:dyDescent="0.3">
      <c r="A24" t="s">
        <v>31</v>
      </c>
      <c r="B24">
        <v>16.61</v>
      </c>
      <c r="C24" s="1">
        <v>0.57999999999999996</v>
      </c>
      <c r="D24" s="1">
        <v>7.6099999999999994</v>
      </c>
      <c r="E24" s="1">
        <v>7.3400000000000007</v>
      </c>
      <c r="F24" s="1">
        <v>23.1</v>
      </c>
      <c r="G24" s="9">
        <v>5.6816666666666661E-2</v>
      </c>
      <c r="H24" t="e">
        <f t="shared" si="0"/>
        <v>#N/A</v>
      </c>
      <c r="J24" t="s">
        <v>147</v>
      </c>
      <c r="K24" t="s">
        <v>75</v>
      </c>
    </row>
    <row r="25" spans="1:11" x14ac:dyDescent="0.3">
      <c r="A25" t="s">
        <v>32</v>
      </c>
      <c r="B25">
        <v>15.720000000000002</v>
      </c>
      <c r="C25" s="1">
        <v>8.1</v>
      </c>
      <c r="D25" s="1">
        <v>29.765000000000001</v>
      </c>
      <c r="E25" s="1">
        <v>29.6</v>
      </c>
      <c r="F25" s="1">
        <v>36.125</v>
      </c>
      <c r="G25" s="9">
        <v>1.5676388888888889E-2</v>
      </c>
      <c r="H25" t="str">
        <f t="shared" si="0"/>
        <v>Caa</v>
      </c>
      <c r="J25" t="s">
        <v>148</v>
      </c>
      <c r="K25" t="s">
        <v>135</v>
      </c>
    </row>
    <row r="26" spans="1:11" x14ac:dyDescent="0.3">
      <c r="A26" t="s">
        <v>33</v>
      </c>
      <c r="B26">
        <v>16.760000000000002</v>
      </c>
      <c r="C26" s="1">
        <v>4.26</v>
      </c>
      <c r="D26" s="1">
        <v>13.460000000000003</v>
      </c>
      <c r="E26" s="1">
        <v>13.1</v>
      </c>
      <c r="F26" s="1">
        <v>49.660000000000004</v>
      </c>
      <c r="G26" s="9">
        <v>3.1929323071234209E-2</v>
      </c>
      <c r="H26" t="e">
        <f t="shared" si="0"/>
        <v>#N/A</v>
      </c>
      <c r="J26" t="s">
        <v>105</v>
      </c>
      <c r="K26" t="s">
        <v>138</v>
      </c>
    </row>
    <row r="27" spans="1:11" x14ac:dyDescent="0.3">
      <c r="A27" t="s">
        <v>34</v>
      </c>
      <c r="B27">
        <v>16.45</v>
      </c>
      <c r="C27" s="1">
        <v>7.2799999999999994</v>
      </c>
      <c r="D27" s="1">
        <v>24.75</v>
      </c>
      <c r="E27" s="1">
        <v>20.859999999999996</v>
      </c>
      <c r="F27" s="1">
        <v>50.7</v>
      </c>
      <c r="G27" s="9">
        <v>2.8467574786324789E-2</v>
      </c>
      <c r="H27" t="str">
        <f t="shared" si="0"/>
        <v>Caa</v>
      </c>
      <c r="J27" t="s">
        <v>149</v>
      </c>
      <c r="K27" t="s">
        <v>75</v>
      </c>
    </row>
    <row r="28" spans="1:11" x14ac:dyDescent="0.3">
      <c r="A28" t="s">
        <v>35</v>
      </c>
      <c r="B28">
        <v>16.47</v>
      </c>
      <c r="C28" s="1">
        <v>3.7</v>
      </c>
      <c r="D28" s="1">
        <v>12.540000000000001</v>
      </c>
      <c r="E28" s="1">
        <v>11.17</v>
      </c>
      <c r="F28" s="1">
        <v>49.97</v>
      </c>
      <c r="G28" s="9">
        <v>1.7224320735444332E-2</v>
      </c>
      <c r="H28" t="e">
        <f t="shared" si="0"/>
        <v>#N/A</v>
      </c>
      <c r="J28" t="s">
        <v>150</v>
      </c>
      <c r="K28" t="s">
        <v>75</v>
      </c>
    </row>
    <row r="29" spans="1:11" x14ac:dyDescent="0.3">
      <c r="A29" t="s">
        <v>36</v>
      </c>
      <c r="B29">
        <v>15.7</v>
      </c>
      <c r="C29" s="1">
        <v>0.44768000000000008</v>
      </c>
      <c r="D29" s="1">
        <v>6.7299999999999995</v>
      </c>
      <c r="E29" s="1">
        <v>6.85</v>
      </c>
      <c r="F29" s="1">
        <v>19.05</v>
      </c>
      <c r="G29" s="9">
        <v>5.9872449141444885E-2</v>
      </c>
      <c r="H29" t="e">
        <f t="shared" si="0"/>
        <v>#N/A</v>
      </c>
      <c r="J29" t="s">
        <v>151</v>
      </c>
      <c r="K29" t="s">
        <v>135</v>
      </c>
    </row>
    <row r="30" spans="1:11" x14ac:dyDescent="0.3">
      <c r="A30" t="s">
        <v>37</v>
      </c>
      <c r="B30">
        <v>15.98</v>
      </c>
      <c r="C30" s="1">
        <v>3.5200000000000005</v>
      </c>
      <c r="D30" s="1">
        <v>15.1</v>
      </c>
      <c r="E30" s="1">
        <v>12.620000000000001</v>
      </c>
      <c r="F30" s="1">
        <v>47.69</v>
      </c>
      <c r="G30" s="9">
        <v>4.4585457662492549E-2</v>
      </c>
      <c r="H30" t="str">
        <f t="shared" si="0"/>
        <v>Caa</v>
      </c>
      <c r="J30" t="s">
        <v>152</v>
      </c>
      <c r="K30" t="s">
        <v>75</v>
      </c>
    </row>
    <row r="31" spans="1:11" x14ac:dyDescent="0.3">
      <c r="A31" t="s">
        <v>38</v>
      </c>
      <c r="B31">
        <v>8.85</v>
      </c>
      <c r="C31" s="1">
        <v>0.12855999999999998</v>
      </c>
      <c r="D31" s="1">
        <v>5.1099999999999994</v>
      </c>
      <c r="E31" s="1">
        <v>4.8499999999999996</v>
      </c>
      <c r="F31" s="1">
        <v>7.83</v>
      </c>
      <c r="G31" s="9">
        <v>0.21197049542985541</v>
      </c>
      <c r="H31" t="e">
        <f t="shared" si="0"/>
        <v>#N/A</v>
      </c>
      <c r="J31" t="s">
        <v>92</v>
      </c>
      <c r="K31" t="s">
        <v>76</v>
      </c>
    </row>
    <row r="32" spans="1:11" x14ac:dyDescent="0.3">
      <c r="A32" t="s">
        <v>39</v>
      </c>
      <c r="B32">
        <v>8.7199999999999989</v>
      </c>
      <c r="C32" s="1">
        <v>0.11612</v>
      </c>
      <c r="D32" s="1">
        <v>5.2700000000000005</v>
      </c>
      <c r="E32" s="1">
        <v>5.2700000000000005</v>
      </c>
      <c r="F32" s="1">
        <v>7.51</v>
      </c>
      <c r="G32" s="9" t="e">
        <v>#N/A</v>
      </c>
      <c r="H32" t="e">
        <f t="shared" si="0"/>
        <v>#N/A</v>
      </c>
      <c r="J32" t="s">
        <v>107</v>
      </c>
      <c r="K32" t="s">
        <v>75</v>
      </c>
    </row>
    <row r="33" spans="1:11" x14ac:dyDescent="0.3">
      <c r="A33" t="s">
        <v>40</v>
      </c>
      <c r="B33">
        <v>10.16</v>
      </c>
      <c r="C33" s="1">
        <v>9.6739999999999993E-2</v>
      </c>
      <c r="D33" s="1">
        <v>4.4799999999999995</v>
      </c>
      <c r="E33" s="1">
        <v>4.3599999999999994</v>
      </c>
      <c r="F33" s="1">
        <v>8.75</v>
      </c>
      <c r="G33" s="9">
        <v>0.20027289605315807</v>
      </c>
      <c r="H33" t="e">
        <f t="shared" si="0"/>
        <v>#N/A</v>
      </c>
      <c r="J33" t="s">
        <v>99</v>
      </c>
      <c r="K33" t="s">
        <v>138</v>
      </c>
    </row>
    <row r="34" spans="1:11" x14ac:dyDescent="0.3">
      <c r="A34" t="s">
        <v>42</v>
      </c>
      <c r="B34">
        <v>16.059999999999999</v>
      </c>
      <c r="C34" s="1">
        <v>5.76</v>
      </c>
      <c r="D34" s="1">
        <v>25.8</v>
      </c>
      <c r="E34" s="1">
        <v>23.72</v>
      </c>
      <c r="F34" s="1">
        <v>30.586000000000002</v>
      </c>
      <c r="G34" s="9">
        <v>1.8997672328328614E-2</v>
      </c>
      <c r="H34" t="e">
        <f t="shared" si="0"/>
        <v>#N/A</v>
      </c>
      <c r="J34" t="s">
        <v>101</v>
      </c>
      <c r="K34" t="s">
        <v>77</v>
      </c>
    </row>
    <row r="35" spans="1:11" x14ac:dyDescent="0.3">
      <c r="A35" t="s">
        <v>43</v>
      </c>
      <c r="B35">
        <v>24.54</v>
      </c>
      <c r="C35" s="1">
        <v>19.2</v>
      </c>
      <c r="D35" s="1">
        <v>27.65</v>
      </c>
      <c r="E35" s="1">
        <v>26.6</v>
      </c>
      <c r="F35" s="1">
        <v>50.8</v>
      </c>
      <c r="G35" s="9">
        <v>1.1375000000000001E-2</v>
      </c>
      <c r="H35" t="e">
        <f t="shared" si="0"/>
        <v>#N/A</v>
      </c>
      <c r="J35" t="s">
        <v>111</v>
      </c>
      <c r="K35" t="s">
        <v>135</v>
      </c>
    </row>
    <row r="36" spans="1:11" x14ac:dyDescent="0.3">
      <c r="A36" t="s">
        <v>44</v>
      </c>
      <c r="B36">
        <v>19.060000000000002</v>
      </c>
      <c r="C36" s="1">
        <v>7.919999999999999</v>
      </c>
      <c r="D36" s="1">
        <v>15.419999999999998</v>
      </c>
      <c r="E36" s="1">
        <v>15.63</v>
      </c>
      <c r="F36" s="1">
        <v>61.030000000000008</v>
      </c>
      <c r="G36" s="9" t="e">
        <v>#N/A</v>
      </c>
      <c r="H36" t="e">
        <f t="shared" si="0"/>
        <v>#N/A</v>
      </c>
      <c r="J36" t="s">
        <v>153</v>
      </c>
      <c r="K36" t="s">
        <v>75</v>
      </c>
    </row>
    <row r="37" spans="1:11" x14ac:dyDescent="0.3">
      <c r="A37" t="s">
        <v>45</v>
      </c>
      <c r="B37">
        <v>20.399999999999999</v>
      </c>
      <c r="C37" s="1">
        <v>3.8499999999999996</v>
      </c>
      <c r="D37" s="1">
        <v>17.549999999999997</v>
      </c>
      <c r="E37" s="1">
        <v>17.2</v>
      </c>
      <c r="F37" s="1">
        <v>28.924999999999997</v>
      </c>
      <c r="G37" s="9" t="e">
        <v>#N/A</v>
      </c>
      <c r="H37" t="e">
        <f t="shared" si="0"/>
        <v>#N/A</v>
      </c>
      <c r="J37" t="s">
        <v>154</v>
      </c>
      <c r="K37" t="s">
        <v>75</v>
      </c>
    </row>
    <row r="38" spans="1:11" x14ac:dyDescent="0.3">
      <c r="A38" t="s">
        <v>46</v>
      </c>
      <c r="B38">
        <v>27.54</v>
      </c>
      <c r="C38" s="1">
        <v>61.55</v>
      </c>
      <c r="D38" s="1">
        <v>50.4</v>
      </c>
      <c r="E38" s="1">
        <v>51.25</v>
      </c>
      <c r="F38" s="1">
        <v>66.25</v>
      </c>
      <c r="G38" s="9" t="e">
        <v>#N/A</v>
      </c>
      <c r="H38" t="e">
        <f t="shared" si="0"/>
        <v>#N/A</v>
      </c>
      <c r="J38" t="s">
        <v>155</v>
      </c>
      <c r="K38" t="s">
        <v>75</v>
      </c>
    </row>
    <row r="39" spans="1:11" x14ac:dyDescent="0.3">
      <c r="A39" t="s">
        <v>47</v>
      </c>
      <c r="B39">
        <v>14.35</v>
      </c>
      <c r="C39" s="1">
        <v>7.3599999999999994</v>
      </c>
      <c r="D39" s="1">
        <v>21.339999999999996</v>
      </c>
      <c r="E39" s="1">
        <v>23.869999999999997</v>
      </c>
      <c r="F39" s="1">
        <v>46.93</v>
      </c>
      <c r="G39" s="9">
        <v>1.7905726310680232E-2</v>
      </c>
      <c r="H39" t="str">
        <f t="shared" si="0"/>
        <v>Caa</v>
      </c>
      <c r="J39" t="s">
        <v>156</v>
      </c>
      <c r="K39" t="s">
        <v>75</v>
      </c>
    </row>
    <row r="40" spans="1:11" x14ac:dyDescent="0.3">
      <c r="A40" t="s">
        <v>48</v>
      </c>
      <c r="B40">
        <v>19.130000000000003</v>
      </c>
      <c r="C40" s="1">
        <v>1.6600000000000001</v>
      </c>
      <c r="D40" s="1">
        <v>7.3900000000000006</v>
      </c>
      <c r="E40" s="1">
        <v>7.5300000000000011</v>
      </c>
      <c r="F40" s="1">
        <v>53.361599999999996</v>
      </c>
      <c r="G40" s="9">
        <v>0.1492388095238095</v>
      </c>
      <c r="H40" t="e">
        <f t="shared" si="0"/>
        <v>#N/A</v>
      </c>
      <c r="J40" t="s">
        <v>157</v>
      </c>
      <c r="K40" t="s">
        <v>75</v>
      </c>
    </row>
    <row r="41" spans="1:11" x14ac:dyDescent="0.3">
      <c r="A41" t="s">
        <v>49</v>
      </c>
      <c r="B41">
        <v>13.430000000000001</v>
      </c>
      <c r="C41" s="1">
        <v>4.22</v>
      </c>
      <c r="D41" s="1">
        <v>13.879999999999999</v>
      </c>
      <c r="E41" s="1">
        <v>13.180000000000001</v>
      </c>
      <c r="F41" s="1">
        <v>51.280000000000008</v>
      </c>
      <c r="G41" s="9">
        <v>2.8429138484924465E-2</v>
      </c>
      <c r="H41" t="e">
        <f t="shared" si="0"/>
        <v>#N/A</v>
      </c>
      <c r="J41" t="s">
        <v>158</v>
      </c>
      <c r="K41" t="s">
        <v>75</v>
      </c>
    </row>
    <row r="42" spans="1:11" x14ac:dyDescent="0.3">
      <c r="A42" t="s">
        <v>50</v>
      </c>
      <c r="B42">
        <v>16.740000000000002</v>
      </c>
      <c r="C42" s="1">
        <v>8.42</v>
      </c>
      <c r="D42" s="1">
        <v>22.09</v>
      </c>
      <c r="E42" s="1">
        <v>23.82</v>
      </c>
      <c r="F42" s="1">
        <v>48.46</v>
      </c>
      <c r="G42" s="9">
        <v>1.3512688553682341E-2</v>
      </c>
      <c r="H42" t="str">
        <f t="shared" si="0"/>
        <v>Caa</v>
      </c>
      <c r="J42" t="s">
        <v>159</v>
      </c>
      <c r="K42" t="s">
        <v>75</v>
      </c>
    </row>
    <row r="43" spans="1:11" x14ac:dyDescent="0.3">
      <c r="A43" t="s">
        <v>51</v>
      </c>
      <c r="B43">
        <v>15.279999999999998</v>
      </c>
      <c r="C43" s="1">
        <v>4.2200000000000006</v>
      </c>
      <c r="D43" s="1">
        <v>14.27</v>
      </c>
      <c r="E43" s="1">
        <v>15.120000000000001</v>
      </c>
      <c r="F43" s="1">
        <v>49.180000000000007</v>
      </c>
      <c r="G43" s="9">
        <v>2.595779413447824E-2</v>
      </c>
      <c r="H43" t="e">
        <f t="shared" si="0"/>
        <v>#N/A</v>
      </c>
      <c r="J43" t="s">
        <v>160</v>
      </c>
      <c r="K43" t="s">
        <v>144</v>
      </c>
    </row>
    <row r="44" spans="1:11" x14ac:dyDescent="0.3">
      <c r="A44" t="s">
        <v>52</v>
      </c>
      <c r="B44">
        <v>15.95</v>
      </c>
      <c r="C44" s="1">
        <v>3.78</v>
      </c>
      <c r="D44" s="1">
        <v>13.84</v>
      </c>
      <c r="E44" s="1">
        <v>13.040000000000001</v>
      </c>
      <c r="F44" s="1">
        <v>47.51</v>
      </c>
      <c r="G44" s="9">
        <v>2.6235839100857732E-2</v>
      </c>
      <c r="H44" t="e">
        <f t="shared" si="0"/>
        <v>#N/A</v>
      </c>
      <c r="J44" t="s">
        <v>161</v>
      </c>
      <c r="K44" t="s">
        <v>75</v>
      </c>
    </row>
    <row r="45" spans="1:11" x14ac:dyDescent="0.3">
      <c r="A45" t="s">
        <v>54</v>
      </c>
      <c r="B45">
        <v>14.98</v>
      </c>
      <c r="C45" s="1">
        <v>3.46</v>
      </c>
      <c r="D45" s="1">
        <v>15.63</v>
      </c>
      <c r="E45" s="1">
        <v>13.8</v>
      </c>
      <c r="F45" s="1">
        <v>45.57</v>
      </c>
      <c r="G45" s="9">
        <v>3.6258527748320959E-2</v>
      </c>
      <c r="H45" t="str">
        <f t="shared" si="0"/>
        <v>Caa</v>
      </c>
      <c r="J45" t="s">
        <v>162</v>
      </c>
      <c r="K45" t="s">
        <v>75</v>
      </c>
    </row>
    <row r="46" spans="1:11" x14ac:dyDescent="0.3">
      <c r="A46" t="s">
        <v>55</v>
      </c>
      <c r="B46">
        <v>15.5</v>
      </c>
      <c r="C46" s="1">
        <v>1.6199999999999999</v>
      </c>
      <c r="D46" s="1">
        <v>5.91</v>
      </c>
      <c r="E46" s="1">
        <v>7</v>
      </c>
      <c r="F46" s="1">
        <v>65.12</v>
      </c>
      <c r="G46" s="9">
        <v>0.142736783625731</v>
      </c>
      <c r="H46" t="e">
        <f t="shared" si="0"/>
        <v>#N/A</v>
      </c>
      <c r="J46" t="s">
        <v>163</v>
      </c>
      <c r="K46" t="s">
        <v>75</v>
      </c>
    </row>
    <row r="47" spans="1:11" x14ac:dyDescent="0.3">
      <c r="A47" t="s">
        <v>56</v>
      </c>
      <c r="B47">
        <v>20.923999999999999</v>
      </c>
      <c r="C47" s="1">
        <v>14.4</v>
      </c>
      <c r="D47" s="1">
        <v>17.966666666666669</v>
      </c>
      <c r="E47" s="1">
        <v>18.266666666666666</v>
      </c>
      <c r="F47" s="1">
        <v>99.84999999999998</v>
      </c>
      <c r="G47" s="9">
        <v>2.9650585378744748E-2</v>
      </c>
      <c r="H47" t="e">
        <f t="shared" si="0"/>
        <v>#N/A</v>
      </c>
      <c r="J47" t="s">
        <v>164</v>
      </c>
      <c r="K47" t="s">
        <v>75</v>
      </c>
    </row>
    <row r="48" spans="1:11" x14ac:dyDescent="0.3">
      <c r="A48" t="s">
        <v>58</v>
      </c>
      <c r="B48">
        <v>15.320000000000002</v>
      </c>
      <c r="C48" s="1">
        <v>1.78</v>
      </c>
      <c r="D48" s="1">
        <v>11.569999999999999</v>
      </c>
      <c r="E48" s="1">
        <v>11.179999999999998</v>
      </c>
      <c r="F48" s="1">
        <v>28.43</v>
      </c>
      <c r="G48" s="9">
        <v>5.4671566188197761E-2</v>
      </c>
      <c r="H48" t="e">
        <f t="shared" si="0"/>
        <v>#N/A</v>
      </c>
      <c r="J48" t="s">
        <v>165</v>
      </c>
      <c r="K48" t="s">
        <v>75</v>
      </c>
    </row>
    <row r="49" spans="1:11" x14ac:dyDescent="0.3">
      <c r="A49" t="s">
        <v>59</v>
      </c>
      <c r="B49">
        <v>9.76</v>
      </c>
      <c r="C49" s="1">
        <v>0.15901999999999999</v>
      </c>
      <c r="D49" s="1">
        <v>5.12</v>
      </c>
      <c r="E49" s="1">
        <v>5.3400000000000007</v>
      </c>
      <c r="F49" s="1">
        <v>8.27</v>
      </c>
      <c r="G49" s="9">
        <v>0.21678266317401002</v>
      </c>
      <c r="H49" t="e">
        <f t="shared" si="0"/>
        <v>#N/A</v>
      </c>
      <c r="J49" t="s">
        <v>166</v>
      </c>
      <c r="K49" t="s">
        <v>75</v>
      </c>
    </row>
    <row r="50" spans="1:11" x14ac:dyDescent="0.3">
      <c r="A50" t="s">
        <v>60</v>
      </c>
      <c r="B50">
        <v>15.169999999999998</v>
      </c>
      <c r="C50" s="1">
        <v>5.6000000000000005</v>
      </c>
      <c r="D50" s="1">
        <v>14.6</v>
      </c>
      <c r="E50" s="1">
        <v>15.15</v>
      </c>
      <c r="F50" s="1">
        <v>62.61</v>
      </c>
      <c r="G50" s="9">
        <v>3.1477466228550563E-2</v>
      </c>
      <c r="H50" t="e">
        <f t="shared" si="0"/>
        <v>#N/A</v>
      </c>
      <c r="J50" t="s">
        <v>167</v>
      </c>
      <c r="K50" t="s">
        <v>75</v>
      </c>
    </row>
    <row r="51" spans="1:11" x14ac:dyDescent="0.3">
      <c r="A51" t="s">
        <v>61</v>
      </c>
      <c r="B51">
        <v>14.809999999999999</v>
      </c>
      <c r="C51" s="1">
        <v>4.58</v>
      </c>
      <c r="D51" s="1">
        <v>15.559999999999999</v>
      </c>
      <c r="E51" s="1">
        <v>16.27</v>
      </c>
      <c r="F51" s="1">
        <v>51.77</v>
      </c>
      <c r="G51" s="9">
        <v>4.1033861416361415E-2</v>
      </c>
      <c r="H51" t="e">
        <f t="shared" si="0"/>
        <v>#N/A</v>
      </c>
      <c r="J51" t="s">
        <v>168</v>
      </c>
      <c r="K51" t="s">
        <v>75</v>
      </c>
    </row>
    <row r="52" spans="1:11" x14ac:dyDescent="0.3">
      <c r="A52" t="s">
        <v>62</v>
      </c>
      <c r="B52">
        <v>17.839999999999996</v>
      </c>
      <c r="C52" s="1">
        <v>3.8</v>
      </c>
      <c r="D52" s="1">
        <v>22.2</v>
      </c>
      <c r="E52" s="1">
        <v>24.3125</v>
      </c>
      <c r="F52" s="1">
        <v>14.612499999999999</v>
      </c>
      <c r="G52" s="9">
        <v>3.1535174629666304E-2</v>
      </c>
      <c r="H52" t="e">
        <f t="shared" si="0"/>
        <v>#N/A</v>
      </c>
      <c r="J52" t="s">
        <v>169</v>
      </c>
      <c r="K52" t="s">
        <v>75</v>
      </c>
    </row>
    <row r="53" spans="1:11" x14ac:dyDescent="0.3">
      <c r="A53" t="s">
        <v>64</v>
      </c>
      <c r="B53">
        <v>14.6</v>
      </c>
      <c r="C53" s="1">
        <v>5.46</v>
      </c>
      <c r="D53" s="1">
        <v>30.22</v>
      </c>
      <c r="E53" s="1">
        <v>28.630000000000003</v>
      </c>
      <c r="F53" s="1">
        <v>23.862500000000001</v>
      </c>
      <c r="G53" s="9">
        <v>2.0564929250873117E-2</v>
      </c>
      <c r="H53" t="str">
        <f t="shared" si="0"/>
        <v>Caa</v>
      </c>
      <c r="J53" t="s">
        <v>170</v>
      </c>
      <c r="K53" t="s">
        <v>75</v>
      </c>
    </row>
    <row r="54" spans="1:11" x14ac:dyDescent="0.3">
      <c r="A54" t="s">
        <v>66</v>
      </c>
      <c r="B54">
        <v>14.77</v>
      </c>
      <c r="C54" s="1">
        <v>2.9</v>
      </c>
      <c r="D54" s="1">
        <v>12.610000000000001</v>
      </c>
      <c r="E54" s="1">
        <v>11.620000000000001</v>
      </c>
      <c r="F54" s="1">
        <v>45.137499999999996</v>
      </c>
      <c r="G54" s="9">
        <v>3.0251350427350426E-2</v>
      </c>
      <c r="H54" t="e">
        <f t="shared" si="0"/>
        <v>#N/A</v>
      </c>
      <c r="J54" t="s">
        <v>171</v>
      </c>
      <c r="K54" t="s">
        <v>75</v>
      </c>
    </row>
    <row r="55" spans="1:11" x14ac:dyDescent="0.3">
      <c r="A55" t="s">
        <v>67</v>
      </c>
      <c r="B55">
        <v>17.350000000000001</v>
      </c>
      <c r="C55" s="1">
        <v>1.1400000000000001</v>
      </c>
      <c r="D55" s="1">
        <v>8.15</v>
      </c>
      <c r="E55" s="1">
        <v>7.82</v>
      </c>
      <c r="F55" s="1">
        <v>46.010000000000005</v>
      </c>
      <c r="G55" s="9">
        <v>0.13074810606060605</v>
      </c>
      <c r="H55" t="e">
        <f t="shared" si="0"/>
        <v>#N/A</v>
      </c>
      <c r="J55" t="s">
        <v>172</v>
      </c>
      <c r="K55" t="s">
        <v>75</v>
      </c>
    </row>
    <row r="56" spans="1:11" x14ac:dyDescent="0.3">
      <c r="A56" t="s">
        <v>68</v>
      </c>
      <c r="B56">
        <v>16</v>
      </c>
      <c r="C56" s="1">
        <v>5.42</v>
      </c>
      <c r="D56" s="1">
        <v>15.98</v>
      </c>
      <c r="E56" s="1">
        <v>14.88</v>
      </c>
      <c r="F56" s="1">
        <v>56.319999999999993</v>
      </c>
      <c r="G56" s="9">
        <v>3.41616114485606E-2</v>
      </c>
      <c r="H56" t="e">
        <f t="shared" si="0"/>
        <v>#N/A</v>
      </c>
      <c r="J56" t="s">
        <v>173</v>
      </c>
      <c r="K56" t="s">
        <v>75</v>
      </c>
    </row>
    <row r="57" spans="1:11" x14ac:dyDescent="0.3">
      <c r="A57" t="s">
        <v>69</v>
      </c>
      <c r="B57">
        <v>12.14</v>
      </c>
      <c r="C57" s="1">
        <v>0.2611</v>
      </c>
      <c r="D57" s="1">
        <v>6.9700000000000006</v>
      </c>
      <c r="E57" s="1">
        <v>7.2900000000000009</v>
      </c>
      <c r="F57" s="1">
        <v>7.93</v>
      </c>
      <c r="G57" s="9">
        <v>0.11744996181022274</v>
      </c>
      <c r="H57" t="e">
        <f t="shared" si="0"/>
        <v>#N/A</v>
      </c>
      <c r="J57" t="s">
        <v>174</v>
      </c>
      <c r="K57" t="s">
        <v>75</v>
      </c>
    </row>
    <row r="58" spans="1:11" x14ac:dyDescent="0.3">
      <c r="A58" t="s">
        <v>71</v>
      </c>
      <c r="B58">
        <v>21.52</v>
      </c>
      <c r="C58" s="1">
        <v>46.900000000000006</v>
      </c>
      <c r="D58" s="1">
        <v>40.825000000000003</v>
      </c>
      <c r="E58" s="1">
        <v>44.1</v>
      </c>
      <c r="F58" s="1">
        <v>71.075000000000003</v>
      </c>
      <c r="G58" s="9">
        <v>4.5021640498381608E-3</v>
      </c>
      <c r="H58" t="str">
        <f t="shared" si="0"/>
        <v>Caa</v>
      </c>
      <c r="J58" t="s">
        <v>175</v>
      </c>
      <c r="K58" t="s">
        <v>75</v>
      </c>
    </row>
    <row r="59" spans="1:11" x14ac:dyDescent="0.3">
      <c r="A59" t="s">
        <v>72</v>
      </c>
      <c r="B59">
        <v>16.559999999999999</v>
      </c>
      <c r="C59" s="1">
        <v>4.8</v>
      </c>
      <c r="D59" s="1">
        <v>16.149999999999999</v>
      </c>
      <c r="E59" s="1">
        <v>16.5</v>
      </c>
      <c r="F59" s="1">
        <v>48.279999999999994</v>
      </c>
      <c r="G59" s="9">
        <v>3.7878608015896147E-2</v>
      </c>
      <c r="H59" t="e">
        <f t="shared" si="0"/>
        <v>#N/A</v>
      </c>
      <c r="J59" t="s">
        <v>176</v>
      </c>
      <c r="K59" t="s">
        <v>75</v>
      </c>
    </row>
    <row r="60" spans="1:11" x14ac:dyDescent="0.3">
      <c r="A60" t="s">
        <v>73</v>
      </c>
      <c r="B60">
        <v>15.48</v>
      </c>
      <c r="C60" s="1">
        <v>4.74</v>
      </c>
      <c r="D60" s="1">
        <v>25.9</v>
      </c>
      <c r="E60" s="1">
        <v>25.199999999999996</v>
      </c>
      <c r="F60" s="1">
        <v>23.36</v>
      </c>
      <c r="G60" s="9">
        <v>3.4625223314696994E-2</v>
      </c>
      <c r="H60" t="e">
        <f t="shared" si="0"/>
        <v>#N/A</v>
      </c>
      <c r="J60" t="s">
        <v>177</v>
      </c>
      <c r="K60" t="s">
        <v>75</v>
      </c>
    </row>
    <row r="61" spans="1:11" x14ac:dyDescent="0.3">
      <c r="A61" t="s">
        <v>92</v>
      </c>
      <c r="B61">
        <v>16.07</v>
      </c>
      <c r="C61">
        <v>0.94000000000000006</v>
      </c>
      <c r="D61">
        <v>7.01</v>
      </c>
      <c r="E61">
        <v>7.1400000000000006</v>
      </c>
      <c r="F61">
        <v>32.1</v>
      </c>
      <c r="G61" s="9">
        <v>0.11565769785769786</v>
      </c>
      <c r="H61" t="str">
        <f t="shared" si="0"/>
        <v>Cfr</v>
      </c>
      <c r="J61" t="s">
        <v>178</v>
      </c>
      <c r="K61" t="s">
        <v>75</v>
      </c>
    </row>
    <row r="62" spans="1:11" x14ac:dyDescent="0.3">
      <c r="A62" t="s">
        <v>93</v>
      </c>
      <c r="B62">
        <v>18.29</v>
      </c>
      <c r="C62">
        <v>0.4</v>
      </c>
      <c r="D62">
        <v>8.3000000000000007</v>
      </c>
      <c r="E62">
        <v>8</v>
      </c>
      <c r="F62">
        <v>12.9</v>
      </c>
      <c r="G62" s="9">
        <v>4.9500000000000002E-2</v>
      </c>
      <c r="H62" t="e">
        <f t="shared" si="0"/>
        <v>#N/A</v>
      </c>
      <c r="J62" t="s">
        <v>179</v>
      </c>
      <c r="K62" t="s">
        <v>75</v>
      </c>
    </row>
    <row r="63" spans="1:11" x14ac:dyDescent="0.3">
      <c r="A63" t="s">
        <v>94</v>
      </c>
      <c r="B63">
        <v>10.89</v>
      </c>
      <c r="C63">
        <v>0.33999999999999997</v>
      </c>
      <c r="D63">
        <v>8.1</v>
      </c>
      <c r="E63">
        <v>8.08</v>
      </c>
      <c r="F63">
        <v>10.549999999999999</v>
      </c>
      <c r="G63" s="9">
        <v>0.20001333333333332</v>
      </c>
      <c r="H63" t="e">
        <f t="shared" si="0"/>
        <v>#N/A</v>
      </c>
      <c r="J63" t="s">
        <v>180</v>
      </c>
      <c r="K63" t="s">
        <v>135</v>
      </c>
    </row>
    <row r="64" spans="1:11" x14ac:dyDescent="0.3">
      <c r="A64" t="s">
        <v>97</v>
      </c>
      <c r="B64">
        <v>7.4749999999999996</v>
      </c>
      <c r="C64">
        <v>0.34</v>
      </c>
      <c r="D64">
        <v>7.4800000000000013</v>
      </c>
      <c r="E64">
        <v>7.4700000000000006</v>
      </c>
      <c r="F64">
        <v>11.209999999999999</v>
      </c>
      <c r="G64" s="9">
        <v>0.17045000000000002</v>
      </c>
      <c r="H64" t="e">
        <f t="shared" si="0"/>
        <v>#N/A</v>
      </c>
      <c r="J64" t="s">
        <v>181</v>
      </c>
      <c r="K64" t="s">
        <v>75</v>
      </c>
    </row>
    <row r="65" spans="1:11" x14ac:dyDescent="0.3">
      <c r="A65" t="s">
        <v>98</v>
      </c>
      <c r="B65">
        <v>11.7</v>
      </c>
      <c r="C65">
        <v>0.38</v>
      </c>
      <c r="D65">
        <v>8.2399999999999984</v>
      </c>
      <c r="E65">
        <v>8.57</v>
      </c>
      <c r="F65">
        <v>11.77</v>
      </c>
      <c r="G65" s="9">
        <v>0.16621666666666662</v>
      </c>
      <c r="H65" t="e">
        <f t="shared" si="0"/>
        <v>#N/A</v>
      </c>
      <c r="J65" t="s">
        <v>182</v>
      </c>
      <c r="K65" t="s">
        <v>135</v>
      </c>
    </row>
    <row r="66" spans="1:11" x14ac:dyDescent="0.3">
      <c r="A66" t="s">
        <v>99</v>
      </c>
      <c r="B66">
        <v>12</v>
      </c>
      <c r="C66">
        <v>14.475</v>
      </c>
      <c r="D66">
        <v>19.09</v>
      </c>
      <c r="E66">
        <v>19.14</v>
      </c>
      <c r="F66">
        <v>77.039999999999992</v>
      </c>
      <c r="G66" s="9">
        <v>9.0259740259740259E-3</v>
      </c>
      <c r="H66" t="str">
        <f t="shared" si="0"/>
        <v>Cba</v>
      </c>
      <c r="J66" t="s">
        <v>183</v>
      </c>
      <c r="K66" t="s">
        <v>75</v>
      </c>
    </row>
    <row r="67" spans="1:11" x14ac:dyDescent="0.3">
      <c r="A67" t="s">
        <v>100</v>
      </c>
      <c r="B67">
        <v>10.96</v>
      </c>
      <c r="C67">
        <v>0.24</v>
      </c>
      <c r="D67">
        <v>7.62</v>
      </c>
      <c r="E67">
        <v>7.3900000000000006</v>
      </c>
      <c r="F67">
        <v>10.41</v>
      </c>
      <c r="G67" s="9">
        <v>0.22454999999999997</v>
      </c>
      <c r="H67" t="e">
        <f t="shared" ref="H67:H78" si="1">VLOOKUP(A67,$J$2:$K$92,2,FALSE)</f>
        <v>#N/A</v>
      </c>
      <c r="J67" t="s">
        <v>184</v>
      </c>
      <c r="K67" t="s">
        <v>75</v>
      </c>
    </row>
    <row r="68" spans="1:11" x14ac:dyDescent="0.3">
      <c r="A68" t="s">
        <v>101</v>
      </c>
      <c r="B68">
        <v>10.530000000000001</v>
      </c>
      <c r="C68">
        <v>0.14280000000000001</v>
      </c>
      <c r="D68">
        <v>5.92</v>
      </c>
      <c r="E68">
        <v>6.01</v>
      </c>
      <c r="F68">
        <v>9.7800000000000011</v>
      </c>
      <c r="G68" s="9">
        <v>0.37787246745647768</v>
      </c>
      <c r="H68" t="str">
        <f t="shared" si="1"/>
        <v>Cag</v>
      </c>
      <c r="J68" t="s">
        <v>185</v>
      </c>
      <c r="K68" t="s">
        <v>135</v>
      </c>
    </row>
    <row r="69" spans="1:11" x14ac:dyDescent="0.3">
      <c r="A69" t="s">
        <v>103</v>
      </c>
      <c r="B69">
        <v>8.3600000000000012</v>
      </c>
      <c r="C69">
        <v>0.12245</v>
      </c>
      <c r="D69">
        <v>4.87</v>
      </c>
      <c r="E69">
        <v>5.1820000000000004</v>
      </c>
      <c r="F69">
        <v>7.5200000000000005</v>
      </c>
      <c r="G69" s="9">
        <v>0.12624000000000002</v>
      </c>
      <c r="H69" t="str">
        <f t="shared" si="1"/>
        <v>Cag</v>
      </c>
      <c r="J69" t="s">
        <v>186</v>
      </c>
      <c r="K69" t="s">
        <v>135</v>
      </c>
    </row>
    <row r="70" spans="1:11" x14ac:dyDescent="0.3">
      <c r="A70" t="s">
        <v>19</v>
      </c>
      <c r="B70">
        <v>14.709999999999999</v>
      </c>
      <c r="C70">
        <v>0.72000000000000008</v>
      </c>
      <c r="D70">
        <v>6.4</v>
      </c>
      <c r="E70">
        <v>6.68</v>
      </c>
      <c r="F70">
        <v>24.57</v>
      </c>
      <c r="G70" s="9">
        <v>8.2022820512820505E-2</v>
      </c>
      <c r="H70" t="e">
        <f t="shared" si="1"/>
        <v>#N/A</v>
      </c>
      <c r="J70" t="s">
        <v>187</v>
      </c>
      <c r="K70" t="s">
        <v>75</v>
      </c>
    </row>
    <row r="71" spans="1:11" x14ac:dyDescent="0.3">
      <c r="A71" t="s">
        <v>104</v>
      </c>
      <c r="B71">
        <v>10.09</v>
      </c>
      <c r="C71">
        <v>0.26</v>
      </c>
      <c r="D71">
        <v>6.3199999999999994</v>
      </c>
      <c r="E71">
        <v>7.3400000000000007</v>
      </c>
      <c r="F71">
        <v>12.89</v>
      </c>
      <c r="G71" s="9">
        <v>0.18484615384615383</v>
      </c>
      <c r="H71" t="e">
        <f t="shared" si="1"/>
        <v>#N/A</v>
      </c>
      <c r="J71" t="s">
        <v>188</v>
      </c>
      <c r="K71" t="s">
        <v>75</v>
      </c>
    </row>
    <row r="72" spans="1:11" x14ac:dyDescent="0.3">
      <c r="A72" t="s">
        <v>105</v>
      </c>
      <c r="B72">
        <v>19.910000000000004</v>
      </c>
      <c r="C72">
        <v>23.475000000000001</v>
      </c>
      <c r="D72">
        <v>31</v>
      </c>
      <c r="E72">
        <v>29.362499999999997</v>
      </c>
      <c r="F72">
        <v>96.5625</v>
      </c>
      <c r="G72" s="9">
        <v>2.4076959501421899E-2</v>
      </c>
      <c r="H72" t="str">
        <f t="shared" si="1"/>
        <v>Cba</v>
      </c>
      <c r="J72" t="s">
        <v>189</v>
      </c>
      <c r="K72" t="s">
        <v>135</v>
      </c>
    </row>
    <row r="73" spans="1:11" x14ac:dyDescent="0.3">
      <c r="A73" t="s">
        <v>106</v>
      </c>
      <c r="B73">
        <v>17.149999999999999</v>
      </c>
      <c r="C73">
        <v>3.94</v>
      </c>
      <c r="D73">
        <v>12.830000000000002</v>
      </c>
      <c r="E73">
        <v>12.56</v>
      </c>
      <c r="F73">
        <v>56.94</v>
      </c>
      <c r="G73" s="9">
        <v>4.6551435655477064E-2</v>
      </c>
      <c r="H73" t="str">
        <f t="shared" si="1"/>
        <v>Caa</v>
      </c>
      <c r="J73" t="s">
        <v>190</v>
      </c>
      <c r="K73" t="s">
        <v>75</v>
      </c>
    </row>
    <row r="74" spans="1:11" x14ac:dyDescent="0.3">
      <c r="A74" t="s">
        <v>107</v>
      </c>
      <c r="B74">
        <v>13.4</v>
      </c>
      <c r="C74">
        <v>2.76</v>
      </c>
      <c r="D74">
        <v>8.9600000000000009</v>
      </c>
      <c r="E74">
        <v>8.620000000000001</v>
      </c>
      <c r="F74">
        <v>58.89</v>
      </c>
      <c r="G74" s="9">
        <v>4.3993725490196083E-2</v>
      </c>
      <c r="H74" t="str">
        <f t="shared" si="1"/>
        <v>Caa</v>
      </c>
      <c r="J74" t="s">
        <v>191</v>
      </c>
      <c r="K74" t="s">
        <v>75</v>
      </c>
    </row>
    <row r="75" spans="1:11" x14ac:dyDescent="0.3">
      <c r="A75" t="s">
        <v>109</v>
      </c>
      <c r="B75">
        <v>11.709999999999999</v>
      </c>
      <c r="C75">
        <v>0.43999999999999995</v>
      </c>
      <c r="D75">
        <v>8.6100000000000012</v>
      </c>
      <c r="E75">
        <v>8.44</v>
      </c>
      <c r="F75">
        <v>12.290000000000001</v>
      </c>
      <c r="G75" s="9">
        <v>0.63647999999999993</v>
      </c>
      <c r="H75" t="e">
        <f t="shared" si="1"/>
        <v>#N/A</v>
      </c>
      <c r="J75" t="s">
        <v>192</v>
      </c>
      <c r="K75" t="s">
        <v>75</v>
      </c>
    </row>
    <row r="76" spans="1:11" x14ac:dyDescent="0.3">
      <c r="A76" t="s">
        <v>110</v>
      </c>
      <c r="B76">
        <v>17.350000000000001</v>
      </c>
      <c r="C76">
        <v>2.5799999999999996</v>
      </c>
      <c r="D76">
        <v>16.45</v>
      </c>
      <c r="E76">
        <v>11.32</v>
      </c>
      <c r="F76">
        <v>42.790000000000006</v>
      </c>
      <c r="G76" s="9">
        <v>3.1864119905859037E-2</v>
      </c>
      <c r="H76" t="str">
        <f t="shared" si="1"/>
        <v>Caa</v>
      </c>
      <c r="J76" t="s">
        <v>193</v>
      </c>
      <c r="K76" t="s">
        <v>75</v>
      </c>
    </row>
    <row r="77" spans="1:11" x14ac:dyDescent="0.3">
      <c r="A77" t="s">
        <v>113</v>
      </c>
      <c r="B77">
        <v>20.103999999999999</v>
      </c>
      <c r="C77">
        <v>9.8200000000000021</v>
      </c>
      <c r="D77">
        <v>14.24</v>
      </c>
      <c r="E77">
        <v>10.879999999999999</v>
      </c>
      <c r="F77">
        <v>105.12</v>
      </c>
      <c r="G77" s="9">
        <v>2.0273625275855404E-2</v>
      </c>
      <c r="H77" t="e">
        <f t="shared" si="1"/>
        <v>#N/A</v>
      </c>
      <c r="J77" t="s">
        <v>194</v>
      </c>
      <c r="K77" t="s">
        <v>135</v>
      </c>
    </row>
    <row r="78" spans="1:11" x14ac:dyDescent="0.3">
      <c r="A78" t="s">
        <v>118</v>
      </c>
      <c r="B78">
        <v>16.46</v>
      </c>
      <c r="C78">
        <v>13.679999999999998</v>
      </c>
      <c r="D78">
        <v>22</v>
      </c>
      <c r="E78">
        <v>21.619999999999997</v>
      </c>
      <c r="F78">
        <v>88.49</v>
      </c>
      <c r="G78" s="9">
        <v>2.3834341792799574E-2</v>
      </c>
      <c r="H78" t="str">
        <f t="shared" si="1"/>
        <v>Cba</v>
      </c>
      <c r="J78" t="s">
        <v>195</v>
      </c>
      <c r="K78" t="s">
        <v>135</v>
      </c>
    </row>
    <row r="79" spans="1:11" x14ac:dyDescent="0.3">
      <c r="J79" t="s">
        <v>196</v>
      </c>
      <c r="K79" t="s">
        <v>75</v>
      </c>
    </row>
    <row r="80" spans="1:11" x14ac:dyDescent="0.3">
      <c r="J80" t="s">
        <v>197</v>
      </c>
      <c r="K80" t="s">
        <v>75</v>
      </c>
    </row>
    <row r="81" spans="10:11" x14ac:dyDescent="0.3">
      <c r="J81" t="s">
        <v>198</v>
      </c>
      <c r="K81" t="s">
        <v>75</v>
      </c>
    </row>
    <row r="82" spans="10:11" x14ac:dyDescent="0.3">
      <c r="J82" t="s">
        <v>199</v>
      </c>
      <c r="K82" t="s">
        <v>77</v>
      </c>
    </row>
    <row r="83" spans="10:11" x14ac:dyDescent="0.3">
      <c r="J83" t="s">
        <v>200</v>
      </c>
      <c r="K83" t="s">
        <v>75</v>
      </c>
    </row>
    <row r="84" spans="10:11" x14ac:dyDescent="0.3">
      <c r="J84" t="s">
        <v>201</v>
      </c>
      <c r="K84" t="s">
        <v>135</v>
      </c>
    </row>
    <row r="85" spans="10:11" x14ac:dyDescent="0.3">
      <c r="J85" t="s">
        <v>202</v>
      </c>
      <c r="K85" t="s">
        <v>75</v>
      </c>
    </row>
    <row r="86" spans="10:11" x14ac:dyDescent="0.3">
      <c r="J86" t="s">
        <v>203</v>
      </c>
      <c r="K86" t="s">
        <v>135</v>
      </c>
    </row>
    <row r="87" spans="10:11" x14ac:dyDescent="0.3">
      <c r="J87" t="s">
        <v>204</v>
      </c>
      <c r="K87" t="s">
        <v>75</v>
      </c>
    </row>
    <row r="88" spans="10:11" x14ac:dyDescent="0.3">
      <c r="J88" t="s">
        <v>205</v>
      </c>
      <c r="K88" t="s">
        <v>75</v>
      </c>
    </row>
    <row r="89" spans="10:11" x14ac:dyDescent="0.3">
      <c r="J89" t="s">
        <v>206</v>
      </c>
      <c r="K89" t="s">
        <v>75</v>
      </c>
    </row>
    <row r="90" spans="10:11" x14ac:dyDescent="0.3">
      <c r="J90" t="s">
        <v>207</v>
      </c>
      <c r="K90" t="s">
        <v>77</v>
      </c>
    </row>
    <row r="91" spans="10:11" x14ac:dyDescent="0.3">
      <c r="J91" t="s">
        <v>208</v>
      </c>
      <c r="K91" t="s">
        <v>75</v>
      </c>
    </row>
    <row r="92" spans="10:11" x14ac:dyDescent="0.3">
      <c r="J92" t="s">
        <v>209</v>
      </c>
      <c r="K9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016C-CCD6-4AAD-B394-D7BB0D6E52E1}">
  <dimension ref="A1:G78"/>
  <sheetViews>
    <sheetView workbookViewId="0">
      <selection activeCell="I14" sqref="I14"/>
    </sheetView>
  </sheetViews>
  <sheetFormatPr defaultColWidth="11.5546875" defaultRowHeight="14.4" x14ac:dyDescent="0.3"/>
  <cols>
    <col min="2" max="2" width="16.21875" customWidth="1"/>
    <col min="3" max="3" width="12.77734375" customWidth="1"/>
    <col min="4" max="4" width="13.109375" customWidth="1"/>
    <col min="5" max="6" width="12" customWidth="1"/>
    <col min="7" max="7" width="21.33203125" customWidth="1"/>
  </cols>
  <sheetData>
    <row r="1" spans="1:7" ht="15.6" customHeight="1" x14ac:dyDescent="0.3">
      <c r="A1" s="13" t="s">
        <v>228</v>
      </c>
      <c r="B1" s="13" t="s">
        <v>229</v>
      </c>
      <c r="C1" s="13" t="s">
        <v>230</v>
      </c>
      <c r="D1" s="13" t="s">
        <v>234</v>
      </c>
      <c r="E1" s="13" t="s">
        <v>231</v>
      </c>
      <c r="F1" s="13" t="s">
        <v>232</v>
      </c>
      <c r="G1" s="13" t="s">
        <v>233</v>
      </c>
    </row>
    <row r="2" spans="1:7" x14ac:dyDescent="0.3">
      <c r="A2" t="s">
        <v>5</v>
      </c>
      <c r="B2">
        <v>16.41</v>
      </c>
      <c r="C2" s="1">
        <v>5.6800000000000015</v>
      </c>
      <c r="D2" s="1">
        <v>23.060000000000002</v>
      </c>
      <c r="E2" s="1">
        <v>21.810000000000002</v>
      </c>
      <c r="F2" s="1">
        <v>25.75</v>
      </c>
      <c r="G2" s="9">
        <v>2.3226629474024062E-2</v>
      </c>
    </row>
    <row r="3" spans="1:7" x14ac:dyDescent="0.3">
      <c r="A3" t="s">
        <v>6</v>
      </c>
      <c r="B3">
        <v>14.66</v>
      </c>
      <c r="C3" s="1">
        <v>3.4399999999999991</v>
      </c>
      <c r="D3" s="1">
        <v>14.3</v>
      </c>
      <c r="E3" s="1">
        <v>14.530000000000001</v>
      </c>
      <c r="F3" s="1">
        <v>44.759999999999991</v>
      </c>
      <c r="G3" s="9">
        <v>4.7316263878932355E-2</v>
      </c>
    </row>
    <row r="4" spans="1:7" x14ac:dyDescent="0.3">
      <c r="A4" t="s">
        <v>7</v>
      </c>
      <c r="B4">
        <v>15.2</v>
      </c>
      <c r="C4" s="1">
        <v>2.68</v>
      </c>
      <c r="D4" s="1">
        <v>10.34</v>
      </c>
      <c r="E4" s="1">
        <v>10.76</v>
      </c>
      <c r="F4" s="1">
        <v>42.230000000000004</v>
      </c>
      <c r="G4" s="9">
        <v>3.6848631897203325E-2</v>
      </c>
    </row>
    <row r="5" spans="1:7" x14ac:dyDescent="0.3">
      <c r="A5" t="s">
        <v>9</v>
      </c>
      <c r="B5">
        <v>17.98</v>
      </c>
      <c r="C5" s="1">
        <v>1.9000000000000004</v>
      </c>
      <c r="D5" s="1">
        <v>9.8699999999999992</v>
      </c>
      <c r="E5" s="1">
        <v>9.24</v>
      </c>
      <c r="F5" s="1">
        <v>37.059999999999995</v>
      </c>
      <c r="G5" s="9">
        <v>6.0266940077466399E-2</v>
      </c>
    </row>
    <row r="6" spans="1:7" x14ac:dyDescent="0.3">
      <c r="A6" t="s">
        <v>10</v>
      </c>
      <c r="B6">
        <v>14.63</v>
      </c>
      <c r="C6" s="1">
        <v>5.9000000000000012</v>
      </c>
      <c r="D6" s="1">
        <v>20.2</v>
      </c>
      <c r="E6" s="1">
        <v>19.583333333333332</v>
      </c>
      <c r="F6" s="1">
        <v>55.5</v>
      </c>
      <c r="G6" s="9">
        <v>2.4354925273929452E-2</v>
      </c>
    </row>
    <row r="7" spans="1:7" x14ac:dyDescent="0.3">
      <c r="A7" t="s">
        <v>116</v>
      </c>
      <c r="B7">
        <v>14.025</v>
      </c>
      <c r="C7" s="1">
        <v>0.5</v>
      </c>
      <c r="D7" s="1">
        <v>9</v>
      </c>
      <c r="E7" s="1">
        <v>9.5500000000000007</v>
      </c>
      <c r="F7" s="1">
        <v>12.9</v>
      </c>
      <c r="G7" s="9">
        <v>6.7799999999999999E-2</v>
      </c>
    </row>
    <row r="8" spans="1:7" x14ac:dyDescent="0.3">
      <c r="A8" t="s">
        <v>11</v>
      </c>
      <c r="B8">
        <v>15.27</v>
      </c>
      <c r="C8" s="1">
        <v>3.96</v>
      </c>
      <c r="D8" s="1">
        <v>14.52</v>
      </c>
      <c r="E8" s="1">
        <v>15.12</v>
      </c>
      <c r="F8" s="1">
        <v>51.220000000000006</v>
      </c>
      <c r="G8" s="9">
        <v>2.6077715770068711E-2</v>
      </c>
    </row>
    <row r="9" spans="1:7" x14ac:dyDescent="0.3">
      <c r="A9" t="s">
        <v>12</v>
      </c>
      <c r="B9">
        <v>17.850000000000001</v>
      </c>
      <c r="C9" s="1">
        <v>5.2666666666666666</v>
      </c>
      <c r="D9" s="1">
        <v>17.133333333333336</v>
      </c>
      <c r="E9" s="1">
        <v>15.9</v>
      </c>
      <c r="F9" s="1">
        <v>48.75</v>
      </c>
      <c r="G9" s="9">
        <v>4.8427083333333336E-2</v>
      </c>
    </row>
    <row r="10" spans="1:7" x14ac:dyDescent="0.3">
      <c r="A10" t="s">
        <v>13</v>
      </c>
      <c r="B10">
        <v>6.7</v>
      </c>
      <c r="C10" s="1">
        <v>4.8299999999999996E-2</v>
      </c>
      <c r="D10" s="1">
        <v>3.78</v>
      </c>
      <c r="E10" s="1">
        <v>3.7300000000000004</v>
      </c>
      <c r="F10" s="1">
        <v>6.2200000000000006</v>
      </c>
      <c r="G10" s="9">
        <v>0.18174923881606359</v>
      </c>
    </row>
    <row r="11" spans="1:7" x14ac:dyDescent="0.3">
      <c r="A11" t="s">
        <v>14</v>
      </c>
      <c r="B11">
        <v>15.48</v>
      </c>
      <c r="C11" s="1">
        <v>0.91999999999999993</v>
      </c>
      <c r="D11" s="1">
        <v>10.219999999999999</v>
      </c>
      <c r="E11" s="1">
        <v>10.36</v>
      </c>
      <c r="F11" s="1">
        <v>16.660000000000004</v>
      </c>
      <c r="G11" s="9">
        <v>0.11101115384615383</v>
      </c>
    </row>
    <row r="12" spans="1:7" x14ac:dyDescent="0.3">
      <c r="A12" t="s">
        <v>15</v>
      </c>
      <c r="B12">
        <v>10.540000000000001</v>
      </c>
      <c r="C12" s="1">
        <v>0.11739999999999999</v>
      </c>
      <c r="D12" s="1">
        <v>5.09</v>
      </c>
      <c r="E12" s="1">
        <v>4.5600000000000005</v>
      </c>
      <c r="F12" s="1">
        <v>8.0400000000000009</v>
      </c>
      <c r="G12" s="9">
        <v>0.14470555114927899</v>
      </c>
    </row>
    <row r="13" spans="1:7" x14ac:dyDescent="0.3">
      <c r="A13" t="s">
        <v>20</v>
      </c>
      <c r="B13">
        <v>13.040000000000001</v>
      </c>
      <c r="C13" s="1">
        <v>1.9</v>
      </c>
      <c r="D13" s="1">
        <v>8.84</v>
      </c>
      <c r="E13" s="1">
        <v>9.09</v>
      </c>
      <c r="F13" s="1">
        <v>52.48</v>
      </c>
      <c r="G13" s="9">
        <v>4.5228674948240163E-2</v>
      </c>
    </row>
    <row r="14" spans="1:7" x14ac:dyDescent="0.3">
      <c r="A14" t="s">
        <v>21</v>
      </c>
      <c r="B14">
        <v>14.49</v>
      </c>
      <c r="C14" s="1">
        <v>3.2800000000000002</v>
      </c>
      <c r="D14" s="1">
        <v>11.7</v>
      </c>
      <c r="E14" s="1">
        <v>13.63</v>
      </c>
      <c r="F14" s="1">
        <v>42.48</v>
      </c>
      <c r="G14" s="9">
        <v>3.641203565062389E-2</v>
      </c>
    </row>
    <row r="15" spans="1:7" x14ac:dyDescent="0.3">
      <c r="A15" t="s">
        <v>22</v>
      </c>
      <c r="B15">
        <v>13.419999999999998</v>
      </c>
      <c r="C15" s="1">
        <v>2.38</v>
      </c>
      <c r="D15" s="1">
        <v>15.820000000000002</v>
      </c>
      <c r="E15" s="1">
        <v>10.27</v>
      </c>
      <c r="F15" s="1">
        <v>38.58</v>
      </c>
      <c r="G15" s="9">
        <v>2.9453902357576972E-2</v>
      </c>
    </row>
    <row r="16" spans="1:7" x14ac:dyDescent="0.3">
      <c r="A16" t="s">
        <v>23</v>
      </c>
      <c r="B16">
        <v>15.709999999999999</v>
      </c>
      <c r="C16" s="1">
        <v>1.48</v>
      </c>
      <c r="D16" s="1">
        <v>10.930000000000001</v>
      </c>
      <c r="E16" s="1">
        <v>10.999999999999998</v>
      </c>
      <c r="F16" s="1">
        <v>25</v>
      </c>
      <c r="G16" s="9">
        <v>4.3264985994397757E-2</v>
      </c>
    </row>
    <row r="17" spans="1:7" x14ac:dyDescent="0.3">
      <c r="A17" t="s">
        <v>24</v>
      </c>
      <c r="B17">
        <v>14.920000000000002</v>
      </c>
      <c r="C17" s="1">
        <v>1.0399999999999998</v>
      </c>
      <c r="D17" s="1">
        <v>13.99</v>
      </c>
      <c r="E17" s="1">
        <v>12.9</v>
      </c>
      <c r="F17" s="1">
        <v>20.28</v>
      </c>
      <c r="G17" s="9">
        <v>5.5948282828282826E-2</v>
      </c>
    </row>
    <row r="18" spans="1:7" x14ac:dyDescent="0.3">
      <c r="A18" t="s">
        <v>25</v>
      </c>
      <c r="B18">
        <v>12.86</v>
      </c>
      <c r="C18" s="1">
        <v>0.86</v>
      </c>
      <c r="D18" s="1">
        <v>8.82</v>
      </c>
      <c r="E18" s="1">
        <v>9.0599999999999987</v>
      </c>
      <c r="F18" s="1">
        <v>19.880000000000003</v>
      </c>
      <c r="G18" s="9">
        <v>6.3650000000000012E-2</v>
      </c>
    </row>
    <row r="19" spans="1:7" x14ac:dyDescent="0.3">
      <c r="A19" t="s">
        <v>26</v>
      </c>
      <c r="B19">
        <v>15.960000000000003</v>
      </c>
      <c r="C19" s="1">
        <v>7.6000000000000005</v>
      </c>
      <c r="D19" s="1">
        <v>25.883333333333336</v>
      </c>
      <c r="E19" s="1">
        <v>25.399999999999995</v>
      </c>
      <c r="F19" s="1">
        <v>48.866666666666667</v>
      </c>
      <c r="G19" s="9">
        <v>1.4054380929044005E-2</v>
      </c>
    </row>
    <row r="20" spans="1:7" x14ac:dyDescent="0.3">
      <c r="A20" t="s">
        <v>27</v>
      </c>
      <c r="B20">
        <v>15.689999999999998</v>
      </c>
      <c r="C20" s="1">
        <v>3.8</v>
      </c>
      <c r="D20" s="1">
        <v>19.09</v>
      </c>
      <c r="E20" s="1">
        <v>18.399999999999999</v>
      </c>
      <c r="F20" s="1">
        <v>41.92</v>
      </c>
      <c r="G20" s="9">
        <v>3.0719202597950229E-2</v>
      </c>
    </row>
    <row r="21" spans="1:7" x14ac:dyDescent="0.3">
      <c r="A21" t="s">
        <v>28</v>
      </c>
      <c r="B21">
        <v>16.04</v>
      </c>
      <c r="C21" s="1">
        <v>0.74</v>
      </c>
      <c r="D21" s="1">
        <v>7.2799999999999994</v>
      </c>
      <c r="E21" s="1">
        <v>7</v>
      </c>
      <c r="F21" s="1">
        <v>25.919999999999998</v>
      </c>
      <c r="G21" s="9">
        <v>8.581309523809523E-2</v>
      </c>
    </row>
    <row r="22" spans="1:7" x14ac:dyDescent="0.3">
      <c r="A22" t="s">
        <v>29</v>
      </c>
      <c r="B22">
        <v>10.690000000000001</v>
      </c>
      <c r="C22" s="1">
        <v>0.16404000000000002</v>
      </c>
      <c r="D22" s="1">
        <v>5.54</v>
      </c>
      <c r="E22" s="1">
        <v>5.49</v>
      </c>
      <c r="F22" s="1">
        <v>9.1799999999999979</v>
      </c>
      <c r="G22" s="9">
        <v>0.20966811761805956</v>
      </c>
    </row>
    <row r="23" spans="1:7" x14ac:dyDescent="0.3">
      <c r="A23" t="s">
        <v>30</v>
      </c>
      <c r="B23">
        <v>8.89</v>
      </c>
      <c r="C23" s="1">
        <v>0.15496000000000001</v>
      </c>
      <c r="D23" s="1">
        <v>5.5900000000000007</v>
      </c>
      <c r="E23" s="1">
        <v>5.5299999999999994</v>
      </c>
      <c r="F23" s="1">
        <v>8.7700000000000014</v>
      </c>
      <c r="G23" s="9">
        <v>0.19562132896389356</v>
      </c>
    </row>
    <row r="24" spans="1:7" x14ac:dyDescent="0.3">
      <c r="A24" t="s">
        <v>31</v>
      </c>
      <c r="B24">
        <v>16.61</v>
      </c>
      <c r="C24" s="1">
        <v>0.57999999999999996</v>
      </c>
      <c r="D24" s="1">
        <v>7.6099999999999994</v>
      </c>
      <c r="E24" s="1">
        <v>7.3400000000000007</v>
      </c>
      <c r="F24" s="1">
        <v>23.1</v>
      </c>
      <c r="G24" s="9">
        <v>5.6816666666666661E-2</v>
      </c>
    </row>
    <row r="25" spans="1:7" x14ac:dyDescent="0.3">
      <c r="A25" t="s">
        <v>32</v>
      </c>
      <c r="B25">
        <v>15.720000000000002</v>
      </c>
      <c r="C25" s="1">
        <v>8.1</v>
      </c>
      <c r="D25" s="1">
        <v>29.765000000000001</v>
      </c>
      <c r="E25" s="1">
        <v>29.6</v>
      </c>
      <c r="F25" s="1">
        <v>36.125</v>
      </c>
      <c r="G25" s="9">
        <v>1.5676388888888889E-2</v>
      </c>
    </row>
    <row r="26" spans="1:7" x14ac:dyDescent="0.3">
      <c r="A26" t="s">
        <v>33</v>
      </c>
      <c r="B26">
        <v>16.760000000000002</v>
      </c>
      <c r="C26" s="1">
        <v>4.26</v>
      </c>
      <c r="D26" s="1">
        <v>13.460000000000003</v>
      </c>
      <c r="E26" s="1">
        <v>13.1</v>
      </c>
      <c r="F26" s="1">
        <v>49.660000000000004</v>
      </c>
      <c r="G26" s="9">
        <v>3.1929323071234209E-2</v>
      </c>
    </row>
    <row r="27" spans="1:7" x14ac:dyDescent="0.3">
      <c r="A27" t="s">
        <v>34</v>
      </c>
      <c r="B27">
        <v>16.45</v>
      </c>
      <c r="C27" s="1">
        <v>7.2799999999999994</v>
      </c>
      <c r="D27" s="1">
        <v>24.75</v>
      </c>
      <c r="E27" s="1">
        <v>20.859999999999996</v>
      </c>
      <c r="F27" s="1">
        <v>50.7</v>
      </c>
      <c r="G27" s="9">
        <v>2.8467574786324789E-2</v>
      </c>
    </row>
    <row r="28" spans="1:7" x14ac:dyDescent="0.3">
      <c r="A28" t="s">
        <v>35</v>
      </c>
      <c r="B28">
        <v>16.47</v>
      </c>
      <c r="C28" s="1">
        <v>3.7</v>
      </c>
      <c r="D28" s="1">
        <v>12.540000000000001</v>
      </c>
      <c r="E28" s="1">
        <v>11.17</v>
      </c>
      <c r="F28" s="1">
        <v>49.97</v>
      </c>
      <c r="G28" s="9">
        <v>1.7224320735444332E-2</v>
      </c>
    </row>
    <row r="29" spans="1:7" x14ac:dyDescent="0.3">
      <c r="A29" t="s">
        <v>36</v>
      </c>
      <c r="B29">
        <v>15.7</v>
      </c>
      <c r="C29" s="1">
        <v>0.44768000000000008</v>
      </c>
      <c r="D29" s="1">
        <v>6.7299999999999995</v>
      </c>
      <c r="E29" s="1">
        <v>6.85</v>
      </c>
      <c r="F29" s="1">
        <v>19.05</v>
      </c>
      <c r="G29" s="9">
        <v>5.9872449141444885E-2</v>
      </c>
    </row>
    <row r="30" spans="1:7" x14ac:dyDescent="0.3">
      <c r="A30" t="s">
        <v>37</v>
      </c>
      <c r="B30">
        <v>15.98</v>
      </c>
      <c r="C30" s="1">
        <v>3.5200000000000005</v>
      </c>
      <c r="D30" s="1">
        <v>15.1</v>
      </c>
      <c r="E30" s="1">
        <v>12.620000000000001</v>
      </c>
      <c r="F30" s="1">
        <v>47.69</v>
      </c>
      <c r="G30" s="9">
        <v>4.4585457662492549E-2</v>
      </c>
    </row>
    <row r="31" spans="1:7" x14ac:dyDescent="0.3">
      <c r="A31" t="s">
        <v>38</v>
      </c>
      <c r="B31">
        <v>8.85</v>
      </c>
      <c r="C31" s="1">
        <v>0.12855999999999998</v>
      </c>
      <c r="D31" s="1">
        <v>5.1099999999999994</v>
      </c>
      <c r="E31" s="1">
        <v>4.8499999999999996</v>
      </c>
      <c r="F31" s="1">
        <v>7.83</v>
      </c>
      <c r="G31" s="9">
        <v>0.21197049542985541</v>
      </c>
    </row>
    <row r="32" spans="1:7" x14ac:dyDescent="0.3">
      <c r="A32" t="s">
        <v>39</v>
      </c>
      <c r="B32">
        <v>8.7199999999999989</v>
      </c>
      <c r="C32" s="1">
        <v>0.11612</v>
      </c>
      <c r="D32" s="1">
        <v>5.2700000000000005</v>
      </c>
      <c r="E32" s="1">
        <v>5.2700000000000005</v>
      </c>
      <c r="F32" s="1">
        <v>7.51</v>
      </c>
      <c r="G32" s="9" t="e">
        <v>#N/A</v>
      </c>
    </row>
    <row r="33" spans="1:7" x14ac:dyDescent="0.3">
      <c r="A33" t="s">
        <v>40</v>
      </c>
      <c r="B33">
        <v>10.16</v>
      </c>
      <c r="C33" s="1">
        <v>9.6739999999999993E-2</v>
      </c>
      <c r="D33" s="1">
        <v>4.4799999999999995</v>
      </c>
      <c r="E33" s="1">
        <v>4.3599999999999994</v>
      </c>
      <c r="F33" s="1">
        <v>8.75</v>
      </c>
      <c r="G33" s="9">
        <v>0.20027289605315807</v>
      </c>
    </row>
    <row r="34" spans="1:7" x14ac:dyDescent="0.3">
      <c r="A34" t="s">
        <v>42</v>
      </c>
      <c r="B34">
        <v>16.059999999999999</v>
      </c>
      <c r="C34" s="1">
        <v>5.76</v>
      </c>
      <c r="D34" s="1">
        <v>25.8</v>
      </c>
      <c r="E34" s="1">
        <v>23.72</v>
      </c>
      <c r="F34" s="1">
        <v>30.586000000000002</v>
      </c>
      <c r="G34" s="9">
        <v>1.8997672328328614E-2</v>
      </c>
    </row>
    <row r="35" spans="1:7" x14ac:dyDescent="0.3">
      <c r="A35" t="s">
        <v>43</v>
      </c>
      <c r="B35">
        <v>24.54</v>
      </c>
      <c r="C35" s="1">
        <v>19.2</v>
      </c>
      <c r="D35" s="1">
        <v>27.65</v>
      </c>
      <c r="E35" s="1">
        <v>26.6</v>
      </c>
      <c r="F35" s="1">
        <v>50.8</v>
      </c>
      <c r="G35" s="9">
        <v>1.1375000000000001E-2</v>
      </c>
    </row>
    <row r="36" spans="1:7" x14ac:dyDescent="0.3">
      <c r="A36" t="s">
        <v>44</v>
      </c>
      <c r="B36">
        <v>19.060000000000002</v>
      </c>
      <c r="C36" s="1">
        <v>7.919999999999999</v>
      </c>
      <c r="D36" s="1">
        <v>15.419999999999998</v>
      </c>
      <c r="E36" s="1">
        <v>15.63</v>
      </c>
      <c r="F36" s="1">
        <v>61.030000000000008</v>
      </c>
      <c r="G36" s="9" t="e">
        <v>#N/A</v>
      </c>
    </row>
    <row r="37" spans="1:7" x14ac:dyDescent="0.3">
      <c r="A37" t="s">
        <v>45</v>
      </c>
      <c r="B37">
        <v>20.399999999999999</v>
      </c>
      <c r="C37" s="1">
        <v>3.8499999999999996</v>
      </c>
      <c r="D37" s="1">
        <v>17.549999999999997</v>
      </c>
      <c r="E37" s="1">
        <v>17.2</v>
      </c>
      <c r="F37" s="1">
        <v>28.924999999999997</v>
      </c>
      <c r="G37" s="9" t="e">
        <v>#N/A</v>
      </c>
    </row>
    <row r="38" spans="1:7" x14ac:dyDescent="0.3">
      <c r="A38" t="s">
        <v>46</v>
      </c>
      <c r="B38">
        <v>27.54</v>
      </c>
      <c r="C38" s="1">
        <v>61.55</v>
      </c>
      <c r="D38" s="1">
        <v>50.4</v>
      </c>
      <c r="E38" s="1">
        <v>51.25</v>
      </c>
      <c r="F38" s="1">
        <v>66.25</v>
      </c>
      <c r="G38" s="9" t="e">
        <v>#N/A</v>
      </c>
    </row>
    <row r="39" spans="1:7" x14ac:dyDescent="0.3">
      <c r="A39" t="s">
        <v>47</v>
      </c>
      <c r="B39">
        <v>14.35</v>
      </c>
      <c r="C39" s="1">
        <v>7.3599999999999994</v>
      </c>
      <c r="D39" s="1">
        <v>21.339999999999996</v>
      </c>
      <c r="E39" s="1">
        <v>23.869999999999997</v>
      </c>
      <c r="F39" s="1">
        <v>46.93</v>
      </c>
      <c r="G39" s="9">
        <v>1.7905726310680232E-2</v>
      </c>
    </row>
    <row r="40" spans="1:7" x14ac:dyDescent="0.3">
      <c r="A40" t="s">
        <v>48</v>
      </c>
      <c r="B40">
        <v>19.130000000000003</v>
      </c>
      <c r="C40" s="1">
        <v>1.6600000000000001</v>
      </c>
      <c r="D40" s="1">
        <v>7.3900000000000006</v>
      </c>
      <c r="E40" s="1">
        <v>7.5300000000000011</v>
      </c>
      <c r="F40" s="1">
        <v>53.361599999999996</v>
      </c>
      <c r="G40" s="9">
        <v>0.1492388095238095</v>
      </c>
    </row>
    <row r="41" spans="1:7" x14ac:dyDescent="0.3">
      <c r="A41" t="s">
        <v>49</v>
      </c>
      <c r="B41">
        <v>13.430000000000001</v>
      </c>
      <c r="C41" s="1">
        <v>4.22</v>
      </c>
      <c r="D41" s="1">
        <v>13.879999999999999</v>
      </c>
      <c r="E41" s="1">
        <v>13.180000000000001</v>
      </c>
      <c r="F41" s="1">
        <v>51.280000000000008</v>
      </c>
      <c r="G41" s="9">
        <v>2.8429138484924465E-2</v>
      </c>
    </row>
    <row r="42" spans="1:7" x14ac:dyDescent="0.3">
      <c r="A42" t="s">
        <v>50</v>
      </c>
      <c r="B42">
        <v>16.740000000000002</v>
      </c>
      <c r="C42" s="1">
        <v>8.42</v>
      </c>
      <c r="D42" s="1">
        <v>22.09</v>
      </c>
      <c r="E42" s="1">
        <v>23.82</v>
      </c>
      <c r="F42" s="1">
        <v>48.46</v>
      </c>
      <c r="G42" s="9">
        <v>1.3512688553682341E-2</v>
      </c>
    </row>
    <row r="43" spans="1:7" x14ac:dyDescent="0.3">
      <c r="A43" t="s">
        <v>51</v>
      </c>
      <c r="B43">
        <v>15.279999999999998</v>
      </c>
      <c r="C43" s="1">
        <v>4.2200000000000006</v>
      </c>
      <c r="D43" s="1">
        <v>14.27</v>
      </c>
      <c r="E43" s="1">
        <v>15.120000000000001</v>
      </c>
      <c r="F43" s="1">
        <v>49.180000000000007</v>
      </c>
      <c r="G43" s="9">
        <v>2.595779413447824E-2</v>
      </c>
    </row>
    <row r="44" spans="1:7" x14ac:dyDescent="0.3">
      <c r="A44" t="s">
        <v>52</v>
      </c>
      <c r="B44">
        <v>15.95</v>
      </c>
      <c r="C44" s="1">
        <v>3.78</v>
      </c>
      <c r="D44" s="1">
        <v>13.84</v>
      </c>
      <c r="E44" s="1">
        <v>13.040000000000001</v>
      </c>
      <c r="F44" s="1">
        <v>47.51</v>
      </c>
      <c r="G44" s="9">
        <v>2.6235839100857732E-2</v>
      </c>
    </row>
    <row r="45" spans="1:7" x14ac:dyDescent="0.3">
      <c r="A45" t="s">
        <v>54</v>
      </c>
      <c r="B45">
        <v>14.98</v>
      </c>
      <c r="C45" s="1">
        <v>3.46</v>
      </c>
      <c r="D45" s="1">
        <v>15.63</v>
      </c>
      <c r="E45" s="1">
        <v>13.8</v>
      </c>
      <c r="F45" s="1">
        <v>45.57</v>
      </c>
      <c r="G45" s="9">
        <v>3.6258527748320959E-2</v>
      </c>
    </row>
    <row r="46" spans="1:7" x14ac:dyDescent="0.3">
      <c r="A46" t="s">
        <v>55</v>
      </c>
      <c r="B46">
        <v>15.5</v>
      </c>
      <c r="C46" s="1">
        <v>1.6199999999999999</v>
      </c>
      <c r="D46" s="1">
        <v>5.91</v>
      </c>
      <c r="E46" s="1">
        <v>7</v>
      </c>
      <c r="F46" s="1">
        <v>65.12</v>
      </c>
      <c r="G46" s="9">
        <v>0.142736783625731</v>
      </c>
    </row>
    <row r="47" spans="1:7" x14ac:dyDescent="0.3">
      <c r="A47" t="s">
        <v>56</v>
      </c>
      <c r="B47">
        <v>20.923999999999999</v>
      </c>
      <c r="C47" s="1">
        <v>14.4</v>
      </c>
      <c r="D47" s="1">
        <v>17.966666666666669</v>
      </c>
      <c r="E47" s="1">
        <v>18.266666666666666</v>
      </c>
      <c r="F47" s="1">
        <v>99.84999999999998</v>
      </c>
      <c r="G47" s="9">
        <v>2.9650585378744748E-2</v>
      </c>
    </row>
    <row r="48" spans="1:7" x14ac:dyDescent="0.3">
      <c r="A48" t="s">
        <v>58</v>
      </c>
      <c r="B48">
        <v>15.320000000000002</v>
      </c>
      <c r="C48" s="1">
        <v>1.78</v>
      </c>
      <c r="D48" s="1">
        <v>11.569999999999999</v>
      </c>
      <c r="E48" s="1">
        <v>11.179999999999998</v>
      </c>
      <c r="F48" s="1">
        <v>28.43</v>
      </c>
      <c r="G48" s="9">
        <v>5.4671566188197761E-2</v>
      </c>
    </row>
    <row r="49" spans="1:7" x14ac:dyDescent="0.3">
      <c r="A49" t="s">
        <v>59</v>
      </c>
      <c r="B49">
        <v>9.76</v>
      </c>
      <c r="C49" s="1">
        <v>0.15901999999999999</v>
      </c>
      <c r="D49" s="1">
        <v>5.12</v>
      </c>
      <c r="E49" s="1">
        <v>5.3400000000000007</v>
      </c>
      <c r="F49" s="1">
        <v>8.27</v>
      </c>
      <c r="G49" s="9">
        <v>0.21678266317401002</v>
      </c>
    </row>
    <row r="50" spans="1:7" x14ac:dyDescent="0.3">
      <c r="A50" t="s">
        <v>60</v>
      </c>
      <c r="B50">
        <v>15.169999999999998</v>
      </c>
      <c r="C50" s="1">
        <v>5.6000000000000005</v>
      </c>
      <c r="D50" s="1">
        <v>14.6</v>
      </c>
      <c r="E50" s="1">
        <v>15.15</v>
      </c>
      <c r="F50" s="1">
        <v>62.61</v>
      </c>
      <c r="G50" s="9">
        <v>3.1477466228550563E-2</v>
      </c>
    </row>
    <row r="51" spans="1:7" x14ac:dyDescent="0.3">
      <c r="A51" t="s">
        <v>61</v>
      </c>
      <c r="B51">
        <v>14.809999999999999</v>
      </c>
      <c r="C51" s="1">
        <v>4.58</v>
      </c>
      <c r="D51" s="1">
        <v>15.559999999999999</v>
      </c>
      <c r="E51" s="1">
        <v>16.27</v>
      </c>
      <c r="F51" s="1">
        <v>51.77</v>
      </c>
      <c r="G51" s="9">
        <v>4.1033861416361415E-2</v>
      </c>
    </row>
    <row r="52" spans="1:7" x14ac:dyDescent="0.3">
      <c r="A52" t="s">
        <v>62</v>
      </c>
      <c r="B52">
        <v>17.839999999999996</v>
      </c>
      <c r="C52" s="1">
        <v>3.8</v>
      </c>
      <c r="D52" s="1">
        <v>22.2</v>
      </c>
      <c r="E52" s="1">
        <v>24.3125</v>
      </c>
      <c r="F52" s="1">
        <v>14.612499999999999</v>
      </c>
      <c r="G52" s="9">
        <v>3.1535174629666304E-2</v>
      </c>
    </row>
    <row r="53" spans="1:7" x14ac:dyDescent="0.3">
      <c r="A53" t="s">
        <v>64</v>
      </c>
      <c r="B53">
        <v>14.6</v>
      </c>
      <c r="C53" s="1">
        <v>5.46</v>
      </c>
      <c r="D53" s="1">
        <v>30.22</v>
      </c>
      <c r="E53" s="1">
        <v>28.630000000000003</v>
      </c>
      <c r="F53" s="1">
        <v>23.862500000000001</v>
      </c>
      <c r="G53" s="9">
        <v>2.0564929250873117E-2</v>
      </c>
    </row>
    <row r="54" spans="1:7" x14ac:dyDescent="0.3">
      <c r="A54" t="s">
        <v>66</v>
      </c>
      <c r="B54">
        <v>14.77</v>
      </c>
      <c r="C54" s="1">
        <v>2.9</v>
      </c>
      <c r="D54" s="1">
        <v>12.610000000000001</v>
      </c>
      <c r="E54" s="1">
        <v>11.620000000000001</v>
      </c>
      <c r="F54" s="1">
        <v>45.137499999999996</v>
      </c>
      <c r="G54" s="9">
        <v>3.0251350427350426E-2</v>
      </c>
    </row>
    <row r="55" spans="1:7" x14ac:dyDescent="0.3">
      <c r="A55" t="s">
        <v>67</v>
      </c>
      <c r="B55">
        <v>17.350000000000001</v>
      </c>
      <c r="C55" s="1">
        <v>1.1400000000000001</v>
      </c>
      <c r="D55" s="1">
        <v>8.15</v>
      </c>
      <c r="E55" s="1">
        <v>7.82</v>
      </c>
      <c r="F55" s="1">
        <v>46.010000000000005</v>
      </c>
      <c r="G55" s="9">
        <v>0.13074810606060605</v>
      </c>
    </row>
    <row r="56" spans="1:7" x14ac:dyDescent="0.3">
      <c r="A56" t="s">
        <v>68</v>
      </c>
      <c r="B56">
        <v>16</v>
      </c>
      <c r="C56" s="1">
        <v>5.42</v>
      </c>
      <c r="D56" s="1">
        <v>15.98</v>
      </c>
      <c r="E56" s="1">
        <v>14.88</v>
      </c>
      <c r="F56" s="1">
        <v>56.319999999999993</v>
      </c>
      <c r="G56" s="9">
        <v>3.41616114485606E-2</v>
      </c>
    </row>
    <row r="57" spans="1:7" x14ac:dyDescent="0.3">
      <c r="A57" t="s">
        <v>69</v>
      </c>
      <c r="B57">
        <v>12.14</v>
      </c>
      <c r="C57" s="1">
        <v>0.2611</v>
      </c>
      <c r="D57" s="1">
        <v>6.9700000000000006</v>
      </c>
      <c r="E57" s="1">
        <v>7.2900000000000009</v>
      </c>
      <c r="F57" s="1">
        <v>7.93</v>
      </c>
      <c r="G57" s="9">
        <v>0.11744996181022274</v>
      </c>
    </row>
    <row r="58" spans="1:7" x14ac:dyDescent="0.3">
      <c r="A58" t="s">
        <v>71</v>
      </c>
      <c r="B58">
        <v>21.52</v>
      </c>
      <c r="C58" s="1">
        <v>46.900000000000006</v>
      </c>
      <c r="D58" s="1">
        <v>40.825000000000003</v>
      </c>
      <c r="E58" s="1">
        <v>44.1</v>
      </c>
      <c r="F58" s="1">
        <v>71.075000000000003</v>
      </c>
      <c r="G58" s="9">
        <v>4.5021640498381608E-3</v>
      </c>
    </row>
    <row r="59" spans="1:7" x14ac:dyDescent="0.3">
      <c r="A59" t="s">
        <v>72</v>
      </c>
      <c r="B59">
        <v>16.559999999999999</v>
      </c>
      <c r="C59" s="1">
        <v>4.8</v>
      </c>
      <c r="D59" s="1">
        <v>16.149999999999999</v>
      </c>
      <c r="E59" s="1">
        <v>16.5</v>
      </c>
      <c r="F59" s="1">
        <v>48.279999999999994</v>
      </c>
      <c r="G59" s="9">
        <v>3.7878608015896147E-2</v>
      </c>
    </row>
    <row r="60" spans="1:7" x14ac:dyDescent="0.3">
      <c r="A60" t="s">
        <v>73</v>
      </c>
      <c r="B60">
        <v>15.48</v>
      </c>
      <c r="C60" s="1">
        <v>4.74</v>
      </c>
      <c r="D60" s="1">
        <v>25.9</v>
      </c>
      <c r="E60" s="1">
        <v>25.199999999999996</v>
      </c>
      <c r="F60" s="1">
        <v>23.36</v>
      </c>
      <c r="G60" s="9">
        <v>3.4625223314696994E-2</v>
      </c>
    </row>
    <row r="61" spans="1:7" x14ac:dyDescent="0.3">
      <c r="A61" t="s">
        <v>92</v>
      </c>
      <c r="B61">
        <v>16.07</v>
      </c>
      <c r="C61">
        <v>0.94000000000000006</v>
      </c>
      <c r="D61">
        <v>7.01</v>
      </c>
      <c r="E61">
        <v>7.1400000000000006</v>
      </c>
      <c r="F61">
        <v>32.1</v>
      </c>
      <c r="G61" s="9">
        <v>0.11565769785769786</v>
      </c>
    </row>
    <row r="62" spans="1:7" x14ac:dyDescent="0.3">
      <c r="A62" t="s">
        <v>93</v>
      </c>
      <c r="B62">
        <v>18.29</v>
      </c>
      <c r="C62">
        <v>0.4</v>
      </c>
      <c r="D62">
        <v>8.3000000000000007</v>
      </c>
      <c r="E62">
        <v>8</v>
      </c>
      <c r="F62">
        <v>12.9</v>
      </c>
      <c r="G62" s="9">
        <v>4.9500000000000002E-2</v>
      </c>
    </row>
    <row r="63" spans="1:7" x14ac:dyDescent="0.3">
      <c r="A63" t="s">
        <v>94</v>
      </c>
      <c r="B63">
        <v>10.89</v>
      </c>
      <c r="C63">
        <v>0.33999999999999997</v>
      </c>
      <c r="D63">
        <v>8.1</v>
      </c>
      <c r="E63">
        <v>8.08</v>
      </c>
      <c r="F63">
        <v>10.549999999999999</v>
      </c>
      <c r="G63" s="9">
        <v>0.20001333333333332</v>
      </c>
    </row>
    <row r="64" spans="1:7" x14ac:dyDescent="0.3">
      <c r="A64" t="s">
        <v>97</v>
      </c>
      <c r="B64">
        <v>7.4749999999999996</v>
      </c>
      <c r="C64">
        <v>0.34</v>
      </c>
      <c r="D64">
        <v>7.4800000000000013</v>
      </c>
      <c r="E64">
        <v>7.4700000000000006</v>
      </c>
      <c r="F64">
        <v>11.209999999999999</v>
      </c>
      <c r="G64" s="9">
        <v>0.17045000000000002</v>
      </c>
    </row>
    <row r="65" spans="1:7" x14ac:dyDescent="0.3">
      <c r="A65" t="s">
        <v>98</v>
      </c>
      <c r="B65">
        <v>11.7</v>
      </c>
      <c r="C65">
        <v>0.38</v>
      </c>
      <c r="D65">
        <v>8.2399999999999984</v>
      </c>
      <c r="E65">
        <v>8.57</v>
      </c>
      <c r="F65">
        <v>11.77</v>
      </c>
      <c r="G65" s="9">
        <v>0.16621666666666662</v>
      </c>
    </row>
    <row r="66" spans="1:7" x14ac:dyDescent="0.3">
      <c r="A66" t="s">
        <v>99</v>
      </c>
      <c r="B66">
        <v>12</v>
      </c>
      <c r="C66">
        <v>14.475</v>
      </c>
      <c r="D66">
        <v>19.09</v>
      </c>
      <c r="E66">
        <v>19.14</v>
      </c>
      <c r="F66">
        <v>77.039999999999992</v>
      </c>
      <c r="G66" s="9">
        <v>9.0259740259740259E-3</v>
      </c>
    </row>
    <row r="67" spans="1:7" x14ac:dyDescent="0.3">
      <c r="A67" t="s">
        <v>100</v>
      </c>
      <c r="B67">
        <v>10.96</v>
      </c>
      <c r="C67">
        <v>0.24</v>
      </c>
      <c r="D67">
        <v>7.62</v>
      </c>
      <c r="E67">
        <v>7.3900000000000006</v>
      </c>
      <c r="F67">
        <v>10.41</v>
      </c>
      <c r="G67" s="9">
        <v>0.22454999999999997</v>
      </c>
    </row>
    <row r="68" spans="1:7" x14ac:dyDescent="0.3">
      <c r="A68" t="s">
        <v>101</v>
      </c>
      <c r="B68">
        <v>10.530000000000001</v>
      </c>
      <c r="C68">
        <v>0.14280000000000001</v>
      </c>
      <c r="D68">
        <v>5.92</v>
      </c>
      <c r="E68">
        <v>6.01</v>
      </c>
      <c r="F68">
        <v>9.7800000000000011</v>
      </c>
      <c r="G68" s="9">
        <v>0.37787246745647768</v>
      </c>
    </row>
    <row r="69" spans="1:7" x14ac:dyDescent="0.3">
      <c r="A69" t="s">
        <v>103</v>
      </c>
      <c r="B69">
        <v>8.3600000000000012</v>
      </c>
      <c r="C69">
        <v>0.12245</v>
      </c>
      <c r="D69">
        <v>4.87</v>
      </c>
      <c r="E69">
        <v>5.1820000000000004</v>
      </c>
      <c r="F69">
        <v>7.5200000000000005</v>
      </c>
      <c r="G69" s="9">
        <v>0.12624000000000002</v>
      </c>
    </row>
    <row r="70" spans="1:7" x14ac:dyDescent="0.3">
      <c r="A70" t="s">
        <v>19</v>
      </c>
      <c r="B70">
        <v>14.709999999999999</v>
      </c>
      <c r="C70">
        <v>0.72000000000000008</v>
      </c>
      <c r="D70">
        <v>6.4</v>
      </c>
      <c r="E70">
        <v>6.68</v>
      </c>
      <c r="F70">
        <v>24.57</v>
      </c>
      <c r="G70" s="9">
        <v>8.2022820512820505E-2</v>
      </c>
    </row>
    <row r="71" spans="1:7" x14ac:dyDescent="0.3">
      <c r="A71" t="s">
        <v>104</v>
      </c>
      <c r="B71">
        <v>10.09</v>
      </c>
      <c r="C71">
        <v>0.26</v>
      </c>
      <c r="D71">
        <v>6.3199999999999994</v>
      </c>
      <c r="E71">
        <v>7.3400000000000007</v>
      </c>
      <c r="F71">
        <v>12.89</v>
      </c>
      <c r="G71" s="9">
        <v>0.18484615384615383</v>
      </c>
    </row>
    <row r="72" spans="1:7" x14ac:dyDescent="0.3">
      <c r="A72" t="s">
        <v>105</v>
      </c>
      <c r="B72">
        <v>19.910000000000004</v>
      </c>
      <c r="C72">
        <v>23.475000000000001</v>
      </c>
      <c r="D72">
        <v>31</v>
      </c>
      <c r="E72">
        <v>29.362499999999997</v>
      </c>
      <c r="F72">
        <v>96.5625</v>
      </c>
      <c r="G72" s="9">
        <v>2.4076959501421899E-2</v>
      </c>
    </row>
    <row r="73" spans="1:7" x14ac:dyDescent="0.3">
      <c r="A73" t="s">
        <v>106</v>
      </c>
      <c r="B73">
        <v>17.149999999999999</v>
      </c>
      <c r="C73">
        <v>3.94</v>
      </c>
      <c r="D73">
        <v>12.830000000000002</v>
      </c>
      <c r="E73">
        <v>12.56</v>
      </c>
      <c r="F73">
        <v>56.94</v>
      </c>
      <c r="G73" s="9">
        <v>4.6551435655477064E-2</v>
      </c>
    </row>
    <row r="74" spans="1:7" x14ac:dyDescent="0.3">
      <c r="A74" t="s">
        <v>107</v>
      </c>
      <c r="B74">
        <v>13.4</v>
      </c>
      <c r="C74">
        <v>2.76</v>
      </c>
      <c r="D74">
        <v>8.9600000000000009</v>
      </c>
      <c r="E74">
        <v>8.620000000000001</v>
      </c>
      <c r="F74">
        <v>58.89</v>
      </c>
      <c r="G74" s="9">
        <v>4.3993725490196083E-2</v>
      </c>
    </row>
    <row r="75" spans="1:7" x14ac:dyDescent="0.3">
      <c r="A75" t="s">
        <v>109</v>
      </c>
      <c r="B75">
        <v>11.709999999999999</v>
      </c>
      <c r="C75">
        <v>0.43999999999999995</v>
      </c>
      <c r="D75">
        <v>8.6100000000000012</v>
      </c>
      <c r="E75">
        <v>8.44</v>
      </c>
      <c r="F75">
        <v>12.290000000000001</v>
      </c>
      <c r="G75" s="9">
        <v>0.63647999999999993</v>
      </c>
    </row>
    <row r="76" spans="1:7" x14ac:dyDescent="0.3">
      <c r="A76" t="s">
        <v>110</v>
      </c>
      <c r="B76">
        <v>17.350000000000001</v>
      </c>
      <c r="C76">
        <v>2.5799999999999996</v>
      </c>
      <c r="D76">
        <v>16.45</v>
      </c>
      <c r="E76">
        <v>11.32</v>
      </c>
      <c r="F76">
        <v>42.790000000000006</v>
      </c>
      <c r="G76" s="9">
        <v>3.1864119905859037E-2</v>
      </c>
    </row>
    <row r="77" spans="1:7" x14ac:dyDescent="0.3">
      <c r="A77" t="s">
        <v>113</v>
      </c>
      <c r="B77">
        <v>20.103999999999999</v>
      </c>
      <c r="C77">
        <v>9.8200000000000021</v>
      </c>
      <c r="D77">
        <v>14.24</v>
      </c>
      <c r="E77">
        <v>10.879999999999999</v>
      </c>
      <c r="F77">
        <v>105.12</v>
      </c>
      <c r="G77" s="9">
        <v>2.0273625275855404E-2</v>
      </c>
    </row>
    <row r="78" spans="1:7" x14ac:dyDescent="0.3">
      <c r="A78" t="s">
        <v>118</v>
      </c>
      <c r="B78">
        <v>16.46</v>
      </c>
      <c r="C78">
        <v>13.679999999999998</v>
      </c>
      <c r="D78">
        <v>22</v>
      </c>
      <c r="E78">
        <v>21.619999999999997</v>
      </c>
      <c r="F78">
        <v>88.49</v>
      </c>
      <c r="G78" s="9">
        <v>2.3834341792799574E-2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3851-7503-4235-A8F5-B56F945F25AE}">
  <dimension ref="A1:U71"/>
  <sheetViews>
    <sheetView workbookViewId="0">
      <selection sqref="A1:XFD1048576"/>
    </sheetView>
  </sheetViews>
  <sheetFormatPr defaultColWidth="11.5546875" defaultRowHeight="14.4" x14ac:dyDescent="0.3"/>
  <sheetData>
    <row r="1" spans="1:21" x14ac:dyDescent="0.3">
      <c r="A1" t="s">
        <v>0</v>
      </c>
      <c r="B1" t="s">
        <v>82</v>
      </c>
      <c r="D1" t="s">
        <v>83</v>
      </c>
      <c r="F1" t="s">
        <v>84</v>
      </c>
      <c r="H1" t="s">
        <v>85</v>
      </c>
      <c r="J1" t="s">
        <v>86</v>
      </c>
      <c r="L1" t="s">
        <v>87</v>
      </c>
      <c r="N1" t="s">
        <v>88</v>
      </c>
      <c r="P1" t="s">
        <v>89</v>
      </c>
      <c r="R1" t="s">
        <v>90</v>
      </c>
      <c r="T1" t="s">
        <v>91</v>
      </c>
    </row>
    <row r="2" spans="1:21" x14ac:dyDescent="0.3">
      <c r="A2" t="s">
        <v>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2</v>
      </c>
      <c r="I2">
        <v>2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3">
      <c r="A3" t="s">
        <v>6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 t="s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2</v>
      </c>
      <c r="I4">
        <v>2</v>
      </c>
      <c r="J4">
        <v>1</v>
      </c>
      <c r="K4">
        <v>1</v>
      </c>
      <c r="L4">
        <v>3</v>
      </c>
      <c r="M4">
        <v>3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</row>
    <row r="5" spans="1:21" x14ac:dyDescent="0.3">
      <c r="A5" t="s">
        <v>8</v>
      </c>
      <c r="B5">
        <v>2</v>
      </c>
      <c r="C5">
        <v>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3</v>
      </c>
      <c r="M5">
        <v>3</v>
      </c>
      <c r="N5">
        <v>1</v>
      </c>
      <c r="O5">
        <v>1</v>
      </c>
      <c r="P5">
        <v>1</v>
      </c>
      <c r="Q5">
        <v>1</v>
      </c>
      <c r="R5">
        <v>3</v>
      </c>
      <c r="S5">
        <v>3</v>
      </c>
      <c r="T5">
        <v>0</v>
      </c>
      <c r="U5">
        <v>0</v>
      </c>
    </row>
    <row r="6" spans="1:21" x14ac:dyDescent="0.3">
      <c r="A6" t="s">
        <v>9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2</v>
      </c>
      <c r="I6">
        <v>2</v>
      </c>
      <c r="J6">
        <v>1</v>
      </c>
      <c r="K6">
        <v>1</v>
      </c>
      <c r="L6">
        <v>3</v>
      </c>
      <c r="M6">
        <v>3</v>
      </c>
      <c r="N6">
        <v>2</v>
      </c>
      <c r="O6">
        <v>2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 t="s">
        <v>10</v>
      </c>
      <c r="B7">
        <v>7</v>
      </c>
      <c r="C7">
        <v>7</v>
      </c>
      <c r="D7">
        <v>1</v>
      </c>
      <c r="E7">
        <v>1</v>
      </c>
      <c r="F7">
        <v>0</v>
      </c>
      <c r="G7">
        <v>0</v>
      </c>
      <c r="H7">
        <v>2</v>
      </c>
      <c r="I7">
        <v>2</v>
      </c>
      <c r="J7">
        <v>1</v>
      </c>
      <c r="K7">
        <v>1</v>
      </c>
      <c r="L7">
        <v>2</v>
      </c>
      <c r="M7">
        <v>2</v>
      </c>
      <c r="N7">
        <v>1</v>
      </c>
      <c r="O7">
        <v>1</v>
      </c>
      <c r="P7">
        <v>1</v>
      </c>
      <c r="Q7">
        <v>1</v>
      </c>
      <c r="R7">
        <v>3</v>
      </c>
      <c r="S7">
        <v>3</v>
      </c>
      <c r="T7">
        <v>0</v>
      </c>
      <c r="U7">
        <v>0</v>
      </c>
    </row>
    <row r="8" spans="1:21" x14ac:dyDescent="0.3">
      <c r="A8" t="s">
        <v>11</v>
      </c>
      <c r="B8">
        <v>0</v>
      </c>
      <c r="C8">
        <v>0</v>
      </c>
      <c r="D8">
        <v>1</v>
      </c>
      <c r="E8">
        <v>1</v>
      </c>
      <c r="F8">
        <v>3</v>
      </c>
      <c r="G8">
        <v>3</v>
      </c>
      <c r="H8">
        <v>2</v>
      </c>
      <c r="I8">
        <v>2</v>
      </c>
      <c r="J8">
        <v>1</v>
      </c>
      <c r="K8">
        <v>1</v>
      </c>
      <c r="L8">
        <v>4</v>
      </c>
      <c r="M8">
        <v>4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 t="s">
        <v>12</v>
      </c>
      <c r="B9">
        <v>2</v>
      </c>
      <c r="C9">
        <v>2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4</v>
      </c>
      <c r="M9">
        <v>4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 t="s">
        <v>13</v>
      </c>
      <c r="B10">
        <v>3</v>
      </c>
      <c r="C10">
        <v>3</v>
      </c>
      <c r="D10">
        <v>3</v>
      </c>
      <c r="E10">
        <v>3</v>
      </c>
      <c r="F10">
        <v>0</v>
      </c>
      <c r="G10">
        <v>0</v>
      </c>
      <c r="H10">
        <v>1</v>
      </c>
      <c r="I10">
        <v>1</v>
      </c>
      <c r="J10">
        <v>2</v>
      </c>
      <c r="K10">
        <v>2</v>
      </c>
      <c r="L10">
        <v>3</v>
      </c>
      <c r="M10">
        <v>3</v>
      </c>
      <c r="N10">
        <v>4</v>
      </c>
      <c r="O10">
        <v>4</v>
      </c>
      <c r="P10">
        <v>1</v>
      </c>
      <c r="Q10">
        <v>1</v>
      </c>
      <c r="R10">
        <v>0</v>
      </c>
      <c r="S10">
        <v>0</v>
      </c>
      <c r="T10">
        <v>1</v>
      </c>
      <c r="U10">
        <v>1</v>
      </c>
    </row>
    <row r="11" spans="1:21" x14ac:dyDescent="0.3">
      <c r="A11" t="s">
        <v>14</v>
      </c>
      <c r="B11">
        <v>6</v>
      </c>
      <c r="C11">
        <v>6</v>
      </c>
      <c r="D11">
        <v>1</v>
      </c>
      <c r="E11">
        <v>1</v>
      </c>
      <c r="F11">
        <v>2</v>
      </c>
      <c r="G11">
        <v>2</v>
      </c>
      <c r="H11">
        <v>2</v>
      </c>
      <c r="I11">
        <v>2</v>
      </c>
      <c r="J11">
        <v>1</v>
      </c>
      <c r="K11">
        <v>1</v>
      </c>
      <c r="L11">
        <v>3</v>
      </c>
      <c r="M11">
        <v>3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 t="s">
        <v>15</v>
      </c>
      <c r="B12">
        <v>4</v>
      </c>
      <c r="C12">
        <v>4</v>
      </c>
      <c r="D12">
        <v>2</v>
      </c>
      <c r="E12">
        <v>2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3</v>
      </c>
      <c r="M12">
        <v>3</v>
      </c>
      <c r="N12">
        <v>3</v>
      </c>
      <c r="O12">
        <v>3</v>
      </c>
      <c r="P12">
        <v>1</v>
      </c>
      <c r="Q12">
        <v>1</v>
      </c>
      <c r="R12">
        <v>5</v>
      </c>
      <c r="S12">
        <v>5</v>
      </c>
      <c r="T12">
        <v>1</v>
      </c>
      <c r="U12">
        <v>1</v>
      </c>
    </row>
    <row r="13" spans="1:21" x14ac:dyDescent="0.3">
      <c r="A13" t="s">
        <v>16</v>
      </c>
      <c r="B13">
        <v>2</v>
      </c>
      <c r="C13">
        <v>2</v>
      </c>
      <c r="D13">
        <v>1</v>
      </c>
      <c r="E13">
        <v>1</v>
      </c>
      <c r="F13">
        <v>0</v>
      </c>
      <c r="G13">
        <v>0</v>
      </c>
      <c r="H13">
        <v>2</v>
      </c>
      <c r="I13">
        <v>2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1</v>
      </c>
      <c r="Q13">
        <v>1</v>
      </c>
      <c r="R13">
        <v>1</v>
      </c>
      <c r="S13">
        <v>1</v>
      </c>
      <c r="T13">
        <v>3</v>
      </c>
      <c r="U13">
        <v>3</v>
      </c>
    </row>
    <row r="14" spans="1:21" x14ac:dyDescent="0.3">
      <c r="A14" t="s">
        <v>17</v>
      </c>
      <c r="B14">
        <v>4</v>
      </c>
      <c r="C14">
        <v>4</v>
      </c>
      <c r="D14">
        <v>2</v>
      </c>
      <c r="E14">
        <v>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2</v>
      </c>
      <c r="O14">
        <v>2</v>
      </c>
      <c r="P14">
        <v>1</v>
      </c>
      <c r="Q14">
        <v>1</v>
      </c>
      <c r="R14">
        <v>2</v>
      </c>
      <c r="S14">
        <v>2</v>
      </c>
      <c r="T14">
        <v>5</v>
      </c>
      <c r="U14">
        <v>5</v>
      </c>
    </row>
    <row r="15" spans="1:21" x14ac:dyDescent="0.3">
      <c r="A15" t="s">
        <v>18</v>
      </c>
      <c r="B15">
        <v>2</v>
      </c>
      <c r="C15">
        <v>2</v>
      </c>
      <c r="D15">
        <v>5</v>
      </c>
      <c r="E15">
        <v>5</v>
      </c>
      <c r="F15">
        <v>1</v>
      </c>
      <c r="G15">
        <v>1</v>
      </c>
      <c r="H15">
        <v>3</v>
      </c>
      <c r="I15">
        <v>3</v>
      </c>
      <c r="J15">
        <v>1</v>
      </c>
      <c r="K15">
        <v>1</v>
      </c>
      <c r="L15">
        <v>1</v>
      </c>
      <c r="M15">
        <v>1</v>
      </c>
      <c r="N15">
        <v>4</v>
      </c>
      <c r="O15">
        <v>4</v>
      </c>
      <c r="P15">
        <v>1</v>
      </c>
      <c r="Q15">
        <v>1</v>
      </c>
      <c r="R15">
        <v>3</v>
      </c>
      <c r="S15">
        <v>3</v>
      </c>
      <c r="T15">
        <v>2</v>
      </c>
      <c r="U15">
        <v>2</v>
      </c>
    </row>
    <row r="16" spans="1:21" x14ac:dyDescent="0.3">
      <c r="A16" t="s">
        <v>19</v>
      </c>
      <c r="B16">
        <v>2</v>
      </c>
      <c r="C16">
        <v>2</v>
      </c>
      <c r="D16">
        <v>1</v>
      </c>
      <c r="E16">
        <v>1</v>
      </c>
      <c r="F16">
        <v>1</v>
      </c>
      <c r="G16">
        <v>1</v>
      </c>
      <c r="H16">
        <v>2</v>
      </c>
      <c r="I16">
        <v>2</v>
      </c>
      <c r="J16">
        <v>1</v>
      </c>
      <c r="K16">
        <v>1</v>
      </c>
      <c r="L16">
        <v>1</v>
      </c>
      <c r="M16">
        <v>1</v>
      </c>
      <c r="N16">
        <v>4</v>
      </c>
      <c r="O16">
        <v>4</v>
      </c>
      <c r="P16">
        <v>1</v>
      </c>
      <c r="Q16">
        <v>1</v>
      </c>
      <c r="R16">
        <v>7</v>
      </c>
      <c r="S16">
        <v>7</v>
      </c>
      <c r="T16">
        <v>2</v>
      </c>
      <c r="U16">
        <v>2</v>
      </c>
    </row>
    <row r="17" spans="1:21" x14ac:dyDescent="0.3">
      <c r="A17" t="s">
        <v>20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2</v>
      </c>
      <c r="I17">
        <v>2</v>
      </c>
      <c r="J17">
        <v>1</v>
      </c>
      <c r="K17">
        <v>1</v>
      </c>
      <c r="L17">
        <v>3</v>
      </c>
      <c r="M17">
        <v>3</v>
      </c>
      <c r="N17">
        <v>2</v>
      </c>
      <c r="O17">
        <v>2</v>
      </c>
      <c r="P17">
        <v>2</v>
      </c>
      <c r="Q17">
        <v>2</v>
      </c>
      <c r="R17">
        <v>1</v>
      </c>
      <c r="S17">
        <v>1</v>
      </c>
      <c r="T17">
        <v>0</v>
      </c>
      <c r="U17">
        <v>0</v>
      </c>
    </row>
    <row r="18" spans="1:21" x14ac:dyDescent="0.3">
      <c r="A18" t="s">
        <v>21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2</v>
      </c>
      <c r="I18">
        <v>2</v>
      </c>
      <c r="J18">
        <v>1</v>
      </c>
      <c r="K18">
        <v>1</v>
      </c>
      <c r="L18">
        <v>3</v>
      </c>
      <c r="M18">
        <v>3</v>
      </c>
      <c r="N18">
        <v>2</v>
      </c>
      <c r="O18">
        <v>2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 t="s">
        <v>22</v>
      </c>
      <c r="B19">
        <v>2</v>
      </c>
      <c r="C19">
        <v>2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  <row r="20" spans="1:21" x14ac:dyDescent="0.3">
      <c r="A20" t="s">
        <v>23</v>
      </c>
      <c r="B20">
        <v>3</v>
      </c>
      <c r="C20">
        <v>3</v>
      </c>
      <c r="D20">
        <v>6</v>
      </c>
      <c r="E20">
        <v>6</v>
      </c>
      <c r="F20">
        <v>1</v>
      </c>
      <c r="G20">
        <v>1</v>
      </c>
      <c r="H20">
        <v>4</v>
      </c>
      <c r="I20">
        <v>4</v>
      </c>
      <c r="J20">
        <v>3</v>
      </c>
      <c r="K20">
        <v>3</v>
      </c>
      <c r="L20">
        <v>1</v>
      </c>
      <c r="M20">
        <v>1</v>
      </c>
      <c r="N20">
        <v>4</v>
      </c>
      <c r="O20">
        <v>4</v>
      </c>
      <c r="P20">
        <v>2</v>
      </c>
      <c r="Q20">
        <v>2</v>
      </c>
      <c r="R20">
        <v>2</v>
      </c>
      <c r="S20">
        <v>2</v>
      </c>
      <c r="T20">
        <v>1</v>
      </c>
      <c r="U20">
        <v>1</v>
      </c>
    </row>
    <row r="21" spans="1:21" x14ac:dyDescent="0.3">
      <c r="A21" t="s">
        <v>24</v>
      </c>
      <c r="B21">
        <v>3</v>
      </c>
      <c r="C21">
        <v>3</v>
      </c>
      <c r="D21">
        <v>3</v>
      </c>
      <c r="E21">
        <v>3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4</v>
      </c>
      <c r="O21">
        <v>4</v>
      </c>
      <c r="P21">
        <v>1</v>
      </c>
      <c r="Q21">
        <v>1</v>
      </c>
      <c r="R21">
        <v>4</v>
      </c>
      <c r="S21">
        <v>4</v>
      </c>
      <c r="T21">
        <v>1</v>
      </c>
      <c r="U21">
        <v>1</v>
      </c>
    </row>
    <row r="22" spans="1:21" x14ac:dyDescent="0.3">
      <c r="A22" t="s">
        <v>25</v>
      </c>
      <c r="B22">
        <v>3</v>
      </c>
      <c r="C22">
        <v>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4</v>
      </c>
      <c r="O22">
        <v>4</v>
      </c>
      <c r="P22">
        <v>1</v>
      </c>
      <c r="Q22">
        <v>1</v>
      </c>
      <c r="R22">
        <v>4</v>
      </c>
      <c r="S22">
        <v>4</v>
      </c>
      <c r="T22">
        <v>1</v>
      </c>
      <c r="U22">
        <v>1</v>
      </c>
    </row>
    <row r="23" spans="1:21" x14ac:dyDescent="0.3">
      <c r="A23" t="s">
        <v>26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2</v>
      </c>
      <c r="I23">
        <v>2</v>
      </c>
      <c r="J23">
        <v>1</v>
      </c>
      <c r="K23">
        <v>1</v>
      </c>
      <c r="L23">
        <v>3</v>
      </c>
      <c r="M23">
        <v>3</v>
      </c>
      <c r="N23">
        <v>3</v>
      </c>
      <c r="O23">
        <v>3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</row>
    <row r="24" spans="1:21" x14ac:dyDescent="0.3">
      <c r="A24" t="s">
        <v>27</v>
      </c>
      <c r="B24">
        <v>1</v>
      </c>
      <c r="C24">
        <v>1</v>
      </c>
      <c r="D24">
        <v>0</v>
      </c>
      <c r="E24">
        <v>0</v>
      </c>
      <c r="F24">
        <v>1</v>
      </c>
      <c r="G24">
        <v>1</v>
      </c>
      <c r="H24">
        <v>2</v>
      </c>
      <c r="I24">
        <v>2</v>
      </c>
      <c r="J24">
        <v>1</v>
      </c>
      <c r="K24">
        <v>1</v>
      </c>
      <c r="L24">
        <v>3</v>
      </c>
      <c r="M24">
        <v>3</v>
      </c>
      <c r="N24">
        <v>2</v>
      </c>
      <c r="O24">
        <v>2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</row>
    <row r="25" spans="1:21" x14ac:dyDescent="0.3">
      <c r="A25" t="s">
        <v>28</v>
      </c>
      <c r="B25">
        <v>0</v>
      </c>
      <c r="C25">
        <v>0</v>
      </c>
      <c r="D25">
        <v>0</v>
      </c>
      <c r="E25">
        <v>0</v>
      </c>
      <c r="F25">
        <v>2</v>
      </c>
      <c r="G25">
        <v>2</v>
      </c>
      <c r="H25">
        <v>3</v>
      </c>
      <c r="I25">
        <v>3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2</v>
      </c>
      <c r="R25">
        <v>3</v>
      </c>
      <c r="S25">
        <v>3</v>
      </c>
      <c r="T25">
        <v>0</v>
      </c>
      <c r="U25">
        <v>0</v>
      </c>
    </row>
    <row r="26" spans="1:21" x14ac:dyDescent="0.3">
      <c r="A26" t="s">
        <v>29</v>
      </c>
      <c r="B26">
        <v>4</v>
      </c>
      <c r="C26">
        <v>4</v>
      </c>
      <c r="D26">
        <v>2</v>
      </c>
      <c r="E26">
        <v>2</v>
      </c>
      <c r="F26">
        <v>1</v>
      </c>
      <c r="G26">
        <v>1</v>
      </c>
      <c r="H26">
        <v>1</v>
      </c>
      <c r="I26">
        <v>1</v>
      </c>
      <c r="J26">
        <v>3</v>
      </c>
      <c r="K26">
        <v>3</v>
      </c>
      <c r="L26">
        <v>1</v>
      </c>
      <c r="M26">
        <v>1</v>
      </c>
      <c r="N26">
        <v>3</v>
      </c>
      <c r="O26">
        <v>3</v>
      </c>
      <c r="P26">
        <v>2</v>
      </c>
      <c r="Q26">
        <v>2</v>
      </c>
      <c r="R26">
        <v>2</v>
      </c>
      <c r="S26">
        <v>2</v>
      </c>
      <c r="T26">
        <v>1</v>
      </c>
      <c r="U26">
        <v>1</v>
      </c>
    </row>
    <row r="27" spans="1:21" x14ac:dyDescent="0.3">
      <c r="A27" t="s">
        <v>30</v>
      </c>
      <c r="B27">
        <v>4</v>
      </c>
      <c r="C27">
        <v>4</v>
      </c>
      <c r="D27">
        <v>2</v>
      </c>
      <c r="E27">
        <v>2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3</v>
      </c>
      <c r="O27">
        <v>3</v>
      </c>
      <c r="P27">
        <v>2</v>
      </c>
      <c r="Q27">
        <v>2</v>
      </c>
      <c r="R27">
        <v>2</v>
      </c>
      <c r="S27">
        <v>2</v>
      </c>
      <c r="T27">
        <v>0</v>
      </c>
      <c r="U27">
        <v>0</v>
      </c>
    </row>
    <row r="28" spans="1:21" x14ac:dyDescent="0.3">
      <c r="A28" t="s">
        <v>31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3</v>
      </c>
      <c r="I28">
        <v>3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2</v>
      </c>
      <c r="Q28">
        <v>2</v>
      </c>
      <c r="R28">
        <v>3</v>
      </c>
      <c r="S28">
        <v>3</v>
      </c>
      <c r="T28">
        <v>3</v>
      </c>
      <c r="U28">
        <v>3</v>
      </c>
    </row>
    <row r="29" spans="1:21" x14ac:dyDescent="0.3">
      <c r="A29" t="s">
        <v>32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1</v>
      </c>
      <c r="K29">
        <v>1</v>
      </c>
      <c r="L29">
        <v>2</v>
      </c>
      <c r="M29">
        <v>2</v>
      </c>
      <c r="N29">
        <v>3</v>
      </c>
      <c r="O29">
        <v>3</v>
      </c>
      <c r="P29">
        <v>4</v>
      </c>
      <c r="Q29">
        <v>4</v>
      </c>
      <c r="R29">
        <v>1</v>
      </c>
      <c r="S29">
        <v>1</v>
      </c>
      <c r="T29">
        <v>1</v>
      </c>
      <c r="U29">
        <v>1</v>
      </c>
    </row>
    <row r="30" spans="1:21" x14ac:dyDescent="0.3">
      <c r="A30" t="s">
        <v>33</v>
      </c>
      <c r="B30">
        <v>1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2</v>
      </c>
      <c r="M30">
        <v>2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</row>
    <row r="31" spans="1:21" x14ac:dyDescent="0.3">
      <c r="A31" t="s">
        <v>34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1</v>
      </c>
      <c r="K31">
        <v>1</v>
      </c>
      <c r="L31">
        <v>2</v>
      </c>
      <c r="M31">
        <v>2</v>
      </c>
      <c r="N31">
        <v>3</v>
      </c>
      <c r="O31">
        <v>3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</row>
    <row r="32" spans="1:21" x14ac:dyDescent="0.3">
      <c r="A32" t="s">
        <v>35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2</v>
      </c>
      <c r="I32">
        <v>2</v>
      </c>
      <c r="J32">
        <v>1</v>
      </c>
      <c r="K32">
        <v>1</v>
      </c>
      <c r="L32">
        <v>2</v>
      </c>
      <c r="M32">
        <v>2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</row>
    <row r="33" spans="1:21" x14ac:dyDescent="0.3">
      <c r="A33" t="s">
        <v>36</v>
      </c>
      <c r="B33">
        <v>2</v>
      </c>
      <c r="C33">
        <v>2</v>
      </c>
      <c r="D33">
        <v>1</v>
      </c>
      <c r="E33">
        <v>1</v>
      </c>
      <c r="F33">
        <v>0</v>
      </c>
      <c r="G33">
        <v>0</v>
      </c>
      <c r="H33">
        <v>3</v>
      </c>
      <c r="I33">
        <v>3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2</v>
      </c>
      <c r="Q33">
        <v>2</v>
      </c>
      <c r="R33">
        <v>3</v>
      </c>
      <c r="S33">
        <v>3</v>
      </c>
      <c r="T33">
        <v>2</v>
      </c>
      <c r="U33">
        <v>2</v>
      </c>
    </row>
    <row r="34" spans="1:21" x14ac:dyDescent="0.3">
      <c r="A34" t="s">
        <v>37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2</v>
      </c>
      <c r="I34">
        <v>2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</row>
    <row r="35" spans="1:21" x14ac:dyDescent="0.3">
      <c r="A35" t="s">
        <v>38</v>
      </c>
      <c r="B35">
        <v>4</v>
      </c>
      <c r="C35">
        <v>4</v>
      </c>
      <c r="D35">
        <v>2</v>
      </c>
      <c r="E35">
        <v>2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1</v>
      </c>
      <c r="U35">
        <v>1</v>
      </c>
    </row>
    <row r="36" spans="1:21" x14ac:dyDescent="0.3">
      <c r="A36" t="s">
        <v>39</v>
      </c>
      <c r="B36">
        <v>4</v>
      </c>
      <c r="C36">
        <v>4</v>
      </c>
      <c r="D36">
        <v>2</v>
      </c>
      <c r="E36">
        <v>2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3</v>
      </c>
      <c r="O36">
        <v>3</v>
      </c>
      <c r="P36">
        <v>1</v>
      </c>
      <c r="Q36">
        <v>1</v>
      </c>
      <c r="R36">
        <v>2</v>
      </c>
      <c r="S36">
        <v>2</v>
      </c>
      <c r="T36">
        <v>0</v>
      </c>
      <c r="U36">
        <v>0</v>
      </c>
    </row>
    <row r="37" spans="1:21" x14ac:dyDescent="0.3">
      <c r="A37" t="s">
        <v>40</v>
      </c>
      <c r="B37">
        <v>4</v>
      </c>
      <c r="C37">
        <v>4</v>
      </c>
      <c r="D37">
        <v>2</v>
      </c>
      <c r="E37">
        <v>2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3</v>
      </c>
      <c r="O37">
        <v>3</v>
      </c>
      <c r="P37">
        <v>2</v>
      </c>
      <c r="Q37">
        <v>2</v>
      </c>
      <c r="R37">
        <v>2</v>
      </c>
      <c r="S37">
        <v>2</v>
      </c>
      <c r="T37">
        <v>1</v>
      </c>
      <c r="U37">
        <v>1</v>
      </c>
    </row>
    <row r="38" spans="1:21" x14ac:dyDescent="0.3">
      <c r="A38" t="s">
        <v>41</v>
      </c>
      <c r="B38">
        <v>3</v>
      </c>
      <c r="C38">
        <v>3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2</v>
      </c>
      <c r="K38">
        <v>2</v>
      </c>
      <c r="L38">
        <v>1</v>
      </c>
      <c r="M38">
        <v>1</v>
      </c>
      <c r="N38">
        <v>1</v>
      </c>
      <c r="O38">
        <v>1</v>
      </c>
      <c r="P38">
        <v>5</v>
      </c>
      <c r="Q38">
        <v>5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42</v>
      </c>
      <c r="B39">
        <v>10</v>
      </c>
      <c r="C39">
        <v>10</v>
      </c>
      <c r="D39">
        <v>3</v>
      </c>
      <c r="E39">
        <v>3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2</v>
      </c>
      <c r="M39">
        <v>2</v>
      </c>
      <c r="N39">
        <v>3</v>
      </c>
      <c r="O39">
        <v>3</v>
      </c>
      <c r="P39">
        <v>2</v>
      </c>
      <c r="Q39">
        <v>2</v>
      </c>
      <c r="R39">
        <v>6</v>
      </c>
      <c r="S39">
        <v>6</v>
      </c>
      <c r="T39">
        <v>6</v>
      </c>
      <c r="U39">
        <v>6</v>
      </c>
    </row>
    <row r="40" spans="1:21" x14ac:dyDescent="0.3">
      <c r="A40" t="s">
        <v>43</v>
      </c>
      <c r="B40">
        <v>9</v>
      </c>
      <c r="C40">
        <v>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4</v>
      </c>
      <c r="K40">
        <v>4</v>
      </c>
      <c r="L40">
        <v>1</v>
      </c>
      <c r="M40">
        <v>1</v>
      </c>
      <c r="N40">
        <v>4</v>
      </c>
      <c r="O40">
        <v>4</v>
      </c>
      <c r="P40">
        <v>2</v>
      </c>
      <c r="Q40">
        <v>2</v>
      </c>
      <c r="R40">
        <v>4</v>
      </c>
      <c r="S40">
        <v>4</v>
      </c>
      <c r="T40">
        <v>1</v>
      </c>
      <c r="U40">
        <v>1</v>
      </c>
    </row>
    <row r="41" spans="1:21" x14ac:dyDescent="0.3">
      <c r="A41" t="s">
        <v>44</v>
      </c>
      <c r="B41">
        <v>3</v>
      </c>
      <c r="C41">
        <v>3</v>
      </c>
      <c r="D41">
        <v>3</v>
      </c>
      <c r="E41">
        <v>3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4</v>
      </c>
      <c r="O41">
        <v>4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</row>
    <row r="42" spans="1:21" x14ac:dyDescent="0.3">
      <c r="A42" t="s">
        <v>45</v>
      </c>
      <c r="B42">
        <v>3</v>
      </c>
      <c r="C42">
        <v>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2</v>
      </c>
      <c r="K42">
        <v>2</v>
      </c>
      <c r="L42">
        <v>1</v>
      </c>
      <c r="M42">
        <v>1</v>
      </c>
      <c r="N42">
        <v>4</v>
      </c>
      <c r="O42">
        <v>4</v>
      </c>
      <c r="P42">
        <v>1</v>
      </c>
      <c r="Q42">
        <v>1</v>
      </c>
      <c r="R42">
        <v>5</v>
      </c>
      <c r="S42">
        <v>5</v>
      </c>
      <c r="T42">
        <v>1</v>
      </c>
      <c r="U42">
        <v>1</v>
      </c>
    </row>
    <row r="43" spans="1:21" x14ac:dyDescent="0.3">
      <c r="A43" t="s">
        <v>46</v>
      </c>
      <c r="B43">
        <v>3</v>
      </c>
      <c r="C43">
        <v>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3</v>
      </c>
      <c r="K43">
        <v>3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0</v>
      </c>
      <c r="S43">
        <v>0</v>
      </c>
      <c r="T43">
        <v>1</v>
      </c>
      <c r="U43">
        <v>1</v>
      </c>
    </row>
    <row r="44" spans="1:21" x14ac:dyDescent="0.3">
      <c r="A44" t="s">
        <v>47</v>
      </c>
      <c r="B44">
        <v>2</v>
      </c>
      <c r="C44">
        <v>2</v>
      </c>
      <c r="D44">
        <v>1</v>
      </c>
      <c r="E44">
        <v>1</v>
      </c>
      <c r="F44">
        <v>1</v>
      </c>
      <c r="G44">
        <v>1</v>
      </c>
      <c r="H44">
        <v>2</v>
      </c>
      <c r="I44">
        <v>2</v>
      </c>
      <c r="J44">
        <v>0</v>
      </c>
      <c r="K44">
        <v>0</v>
      </c>
      <c r="L44">
        <v>3</v>
      </c>
      <c r="M44">
        <v>3</v>
      </c>
      <c r="N44">
        <v>3</v>
      </c>
      <c r="O44">
        <v>3</v>
      </c>
      <c r="P44">
        <v>2</v>
      </c>
      <c r="Q44">
        <v>2</v>
      </c>
      <c r="R44">
        <v>1</v>
      </c>
      <c r="S44">
        <v>1</v>
      </c>
      <c r="T44">
        <v>0</v>
      </c>
      <c r="U44">
        <v>0</v>
      </c>
    </row>
    <row r="45" spans="1:21" x14ac:dyDescent="0.3">
      <c r="A45" t="s">
        <v>48</v>
      </c>
      <c r="B45">
        <v>3</v>
      </c>
      <c r="C45">
        <v>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5</v>
      </c>
      <c r="S45">
        <v>5</v>
      </c>
      <c r="T45">
        <v>1</v>
      </c>
      <c r="U45">
        <v>1</v>
      </c>
    </row>
    <row r="46" spans="1:21" x14ac:dyDescent="0.3">
      <c r="A46" t="s">
        <v>49</v>
      </c>
      <c r="B46">
        <v>1</v>
      </c>
      <c r="C46">
        <v>1</v>
      </c>
      <c r="D46">
        <v>1</v>
      </c>
      <c r="E46">
        <v>1</v>
      </c>
      <c r="F46">
        <v>0</v>
      </c>
      <c r="G46">
        <v>0</v>
      </c>
      <c r="H46">
        <v>2</v>
      </c>
      <c r="I46">
        <v>2</v>
      </c>
      <c r="J46">
        <v>0</v>
      </c>
      <c r="K46">
        <v>0</v>
      </c>
      <c r="L46">
        <v>2</v>
      </c>
      <c r="M46">
        <v>2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</row>
    <row r="47" spans="1:21" x14ac:dyDescent="0.3">
      <c r="A47" t="s">
        <v>50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1</v>
      </c>
      <c r="S47">
        <v>1</v>
      </c>
      <c r="T47">
        <v>1</v>
      </c>
      <c r="U47">
        <v>1</v>
      </c>
    </row>
    <row r="48" spans="1:21" x14ac:dyDescent="0.3">
      <c r="A48" t="s">
        <v>51</v>
      </c>
      <c r="B48">
        <v>2</v>
      </c>
      <c r="C48">
        <v>2</v>
      </c>
      <c r="D48">
        <v>1</v>
      </c>
      <c r="E48">
        <v>1</v>
      </c>
      <c r="F48">
        <v>1</v>
      </c>
      <c r="G48">
        <v>1</v>
      </c>
      <c r="H48">
        <v>2</v>
      </c>
      <c r="I48">
        <v>2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1</v>
      </c>
      <c r="Q48">
        <v>1</v>
      </c>
      <c r="R48">
        <v>0</v>
      </c>
      <c r="S48">
        <v>0</v>
      </c>
      <c r="T48">
        <v>1</v>
      </c>
      <c r="U48">
        <v>1</v>
      </c>
    </row>
    <row r="49" spans="1:21" x14ac:dyDescent="0.3">
      <c r="A49" t="s">
        <v>52</v>
      </c>
      <c r="B49">
        <v>1</v>
      </c>
      <c r="C49">
        <v>1</v>
      </c>
      <c r="D49">
        <v>1</v>
      </c>
      <c r="E49">
        <v>1</v>
      </c>
      <c r="F49">
        <v>0</v>
      </c>
      <c r="G49">
        <v>0</v>
      </c>
      <c r="H49">
        <v>2</v>
      </c>
      <c r="I49">
        <v>2</v>
      </c>
      <c r="J49">
        <v>1</v>
      </c>
      <c r="K49">
        <v>1</v>
      </c>
      <c r="L49">
        <v>3</v>
      </c>
      <c r="M49">
        <v>3</v>
      </c>
      <c r="N49">
        <v>2</v>
      </c>
      <c r="O49">
        <v>2</v>
      </c>
      <c r="P49">
        <v>1</v>
      </c>
      <c r="Q49">
        <v>1</v>
      </c>
      <c r="R49">
        <v>8</v>
      </c>
      <c r="S49">
        <v>8</v>
      </c>
      <c r="T49">
        <v>1</v>
      </c>
      <c r="U49">
        <v>1</v>
      </c>
    </row>
    <row r="50" spans="1:21" x14ac:dyDescent="0.3">
      <c r="A50" t="s">
        <v>53</v>
      </c>
      <c r="B50">
        <v>0</v>
      </c>
      <c r="C50">
        <v>0</v>
      </c>
      <c r="D50">
        <v>1</v>
      </c>
      <c r="E50">
        <v>1</v>
      </c>
      <c r="F50">
        <v>0</v>
      </c>
      <c r="G50">
        <v>0</v>
      </c>
      <c r="H50">
        <v>4</v>
      </c>
      <c r="I50">
        <v>4</v>
      </c>
      <c r="J50">
        <v>1</v>
      </c>
      <c r="K50">
        <v>1</v>
      </c>
      <c r="L50">
        <v>1</v>
      </c>
      <c r="M50">
        <v>1</v>
      </c>
      <c r="N50">
        <v>2</v>
      </c>
      <c r="O50">
        <v>2</v>
      </c>
      <c r="P50">
        <v>0</v>
      </c>
      <c r="Q50">
        <v>0</v>
      </c>
      <c r="R50">
        <v>11</v>
      </c>
      <c r="S50">
        <v>11</v>
      </c>
      <c r="T50">
        <v>1</v>
      </c>
      <c r="U50">
        <v>1</v>
      </c>
    </row>
    <row r="51" spans="1:21" x14ac:dyDescent="0.3">
      <c r="A51" t="s">
        <v>54</v>
      </c>
      <c r="B51">
        <v>2</v>
      </c>
      <c r="C51">
        <v>2</v>
      </c>
      <c r="D51">
        <v>1</v>
      </c>
      <c r="E51">
        <v>1</v>
      </c>
      <c r="F51">
        <v>0</v>
      </c>
      <c r="G51">
        <v>0</v>
      </c>
      <c r="H51">
        <v>2</v>
      </c>
      <c r="I51">
        <v>2</v>
      </c>
      <c r="J51">
        <v>1</v>
      </c>
      <c r="K51">
        <v>1</v>
      </c>
      <c r="L51">
        <v>3</v>
      </c>
      <c r="M51">
        <v>3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</row>
    <row r="52" spans="1:21" x14ac:dyDescent="0.3">
      <c r="A52" t="s">
        <v>55</v>
      </c>
      <c r="B52">
        <v>3</v>
      </c>
      <c r="C52">
        <v>3</v>
      </c>
      <c r="D52">
        <v>4</v>
      </c>
      <c r="E52">
        <v>4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1</v>
      </c>
      <c r="M52">
        <v>1</v>
      </c>
      <c r="N52">
        <v>5</v>
      </c>
      <c r="O52">
        <v>5</v>
      </c>
      <c r="P52">
        <v>1</v>
      </c>
      <c r="Q52">
        <v>1</v>
      </c>
      <c r="R52">
        <v>10</v>
      </c>
      <c r="S52">
        <v>10</v>
      </c>
      <c r="T52">
        <v>1</v>
      </c>
      <c r="U52">
        <v>1</v>
      </c>
    </row>
    <row r="53" spans="1:21" x14ac:dyDescent="0.3">
      <c r="A53" t="s">
        <v>56</v>
      </c>
      <c r="B53">
        <v>3</v>
      </c>
      <c r="C53">
        <v>3</v>
      </c>
      <c r="D53">
        <v>1</v>
      </c>
      <c r="E53">
        <v>1</v>
      </c>
      <c r="F53">
        <v>0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4</v>
      </c>
      <c r="S53">
        <v>4</v>
      </c>
      <c r="T53">
        <v>1</v>
      </c>
      <c r="U53">
        <v>1</v>
      </c>
    </row>
    <row r="54" spans="1:21" x14ac:dyDescent="0.3">
      <c r="A54" t="s">
        <v>57</v>
      </c>
      <c r="B54">
        <v>2</v>
      </c>
      <c r="C54">
        <v>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1</v>
      </c>
      <c r="M54">
        <v>1</v>
      </c>
      <c r="N54">
        <v>4</v>
      </c>
      <c r="O54">
        <v>4</v>
      </c>
      <c r="P54">
        <v>1</v>
      </c>
      <c r="Q54">
        <v>1</v>
      </c>
      <c r="R54">
        <v>12</v>
      </c>
      <c r="S54">
        <v>12</v>
      </c>
      <c r="T54">
        <v>1</v>
      </c>
      <c r="U54">
        <v>1</v>
      </c>
    </row>
    <row r="55" spans="1:21" x14ac:dyDescent="0.3">
      <c r="A55" t="s">
        <v>58</v>
      </c>
      <c r="B55">
        <v>3</v>
      </c>
      <c r="C55">
        <v>3</v>
      </c>
      <c r="D55">
        <v>1</v>
      </c>
      <c r="E55">
        <v>1</v>
      </c>
      <c r="F55">
        <v>0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4</v>
      </c>
      <c r="O55">
        <v>4</v>
      </c>
      <c r="P55">
        <v>1</v>
      </c>
      <c r="Q55">
        <v>1</v>
      </c>
      <c r="R55">
        <v>4</v>
      </c>
      <c r="S55">
        <v>4</v>
      </c>
      <c r="T55">
        <v>1</v>
      </c>
      <c r="U55">
        <v>1</v>
      </c>
    </row>
    <row r="56" spans="1:21" x14ac:dyDescent="0.3">
      <c r="A56" t="s">
        <v>59</v>
      </c>
      <c r="B56">
        <v>5</v>
      </c>
      <c r="C56">
        <v>5</v>
      </c>
      <c r="D56">
        <v>2</v>
      </c>
      <c r="E56">
        <v>2</v>
      </c>
      <c r="F56">
        <v>0</v>
      </c>
      <c r="G56">
        <v>0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1</v>
      </c>
      <c r="U56">
        <v>1</v>
      </c>
    </row>
    <row r="57" spans="1:21" x14ac:dyDescent="0.3">
      <c r="A57" t="s">
        <v>60</v>
      </c>
      <c r="B57">
        <v>0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6</v>
      </c>
      <c r="O57">
        <v>6</v>
      </c>
      <c r="P57">
        <v>3</v>
      </c>
      <c r="Q57">
        <v>3</v>
      </c>
      <c r="R57">
        <v>9</v>
      </c>
      <c r="S57">
        <v>9</v>
      </c>
      <c r="T57">
        <v>1</v>
      </c>
      <c r="U57">
        <v>1</v>
      </c>
    </row>
    <row r="58" spans="1:21" x14ac:dyDescent="0.3">
      <c r="A58" t="s">
        <v>61</v>
      </c>
      <c r="B58">
        <v>5</v>
      </c>
      <c r="C58">
        <v>5</v>
      </c>
      <c r="D58">
        <v>1</v>
      </c>
      <c r="E58">
        <v>1</v>
      </c>
      <c r="F58">
        <v>1</v>
      </c>
      <c r="G58">
        <v>1</v>
      </c>
      <c r="H58">
        <v>2</v>
      </c>
      <c r="I58">
        <v>2</v>
      </c>
      <c r="J58">
        <v>1</v>
      </c>
      <c r="K58">
        <v>1</v>
      </c>
      <c r="L58">
        <v>3</v>
      </c>
      <c r="M58">
        <v>3</v>
      </c>
      <c r="N58">
        <v>2</v>
      </c>
      <c r="O58">
        <v>2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</row>
    <row r="59" spans="1:21" x14ac:dyDescent="0.3">
      <c r="A59" t="s">
        <v>62</v>
      </c>
      <c r="B59">
        <v>2</v>
      </c>
      <c r="C59">
        <v>2</v>
      </c>
      <c r="D59">
        <v>1</v>
      </c>
      <c r="E59">
        <v>1</v>
      </c>
      <c r="F59">
        <v>1</v>
      </c>
      <c r="G59">
        <v>1</v>
      </c>
      <c r="H59">
        <v>2</v>
      </c>
      <c r="I59">
        <v>2</v>
      </c>
      <c r="J59">
        <v>1</v>
      </c>
      <c r="K59">
        <v>1</v>
      </c>
      <c r="L59">
        <v>3</v>
      </c>
      <c r="M59">
        <v>3</v>
      </c>
      <c r="N59">
        <v>2</v>
      </c>
      <c r="O59">
        <v>2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</row>
    <row r="60" spans="1:21" x14ac:dyDescent="0.3">
      <c r="A60" t="s">
        <v>63</v>
      </c>
      <c r="B60">
        <v>6</v>
      </c>
      <c r="C60">
        <v>6</v>
      </c>
      <c r="D60">
        <v>1</v>
      </c>
      <c r="E60">
        <v>1</v>
      </c>
      <c r="F60">
        <v>0</v>
      </c>
      <c r="G60">
        <v>0</v>
      </c>
      <c r="H60">
        <v>2</v>
      </c>
      <c r="I60">
        <v>2</v>
      </c>
      <c r="J60">
        <v>1</v>
      </c>
      <c r="K60">
        <v>1</v>
      </c>
      <c r="L60">
        <v>2</v>
      </c>
      <c r="M60">
        <v>2</v>
      </c>
      <c r="N60">
        <v>1</v>
      </c>
      <c r="O60">
        <v>1</v>
      </c>
      <c r="P60">
        <v>1</v>
      </c>
      <c r="Q60">
        <v>1</v>
      </c>
      <c r="R60">
        <v>0</v>
      </c>
      <c r="S60">
        <v>0</v>
      </c>
      <c r="T60">
        <v>1</v>
      </c>
      <c r="U60">
        <v>1</v>
      </c>
    </row>
    <row r="61" spans="1:21" x14ac:dyDescent="0.3">
      <c r="A61" t="s">
        <v>64</v>
      </c>
      <c r="B61">
        <v>7</v>
      </c>
      <c r="C61">
        <v>7</v>
      </c>
      <c r="D61">
        <v>1</v>
      </c>
      <c r="E61">
        <v>1</v>
      </c>
      <c r="F61">
        <v>0</v>
      </c>
      <c r="G61">
        <v>0</v>
      </c>
      <c r="H61">
        <v>2</v>
      </c>
      <c r="I61">
        <v>2</v>
      </c>
      <c r="J61">
        <v>1</v>
      </c>
      <c r="K61">
        <v>1</v>
      </c>
      <c r="L61">
        <v>3</v>
      </c>
      <c r="M61">
        <v>3</v>
      </c>
      <c r="N61">
        <v>4</v>
      </c>
      <c r="O61">
        <v>4</v>
      </c>
      <c r="P61">
        <v>2</v>
      </c>
      <c r="Q61">
        <v>2</v>
      </c>
      <c r="R61">
        <v>1</v>
      </c>
      <c r="S61">
        <v>1</v>
      </c>
      <c r="T61">
        <v>0</v>
      </c>
      <c r="U61">
        <v>0</v>
      </c>
    </row>
    <row r="62" spans="1:21" x14ac:dyDescent="0.3">
      <c r="A62" t="s">
        <v>65</v>
      </c>
      <c r="B62">
        <v>8</v>
      </c>
      <c r="C62">
        <v>8</v>
      </c>
      <c r="D62">
        <v>7</v>
      </c>
      <c r="E62">
        <v>7</v>
      </c>
      <c r="F62">
        <v>1</v>
      </c>
      <c r="G62">
        <v>1</v>
      </c>
      <c r="H62">
        <v>1</v>
      </c>
      <c r="I62">
        <v>1</v>
      </c>
      <c r="J62">
        <v>0</v>
      </c>
      <c r="K62">
        <v>0</v>
      </c>
      <c r="L62">
        <v>2</v>
      </c>
      <c r="M62">
        <v>2</v>
      </c>
      <c r="N62">
        <v>0</v>
      </c>
      <c r="O62">
        <v>0</v>
      </c>
      <c r="P62">
        <v>3</v>
      </c>
      <c r="Q62">
        <v>3</v>
      </c>
      <c r="R62">
        <v>0</v>
      </c>
      <c r="S62">
        <v>0</v>
      </c>
      <c r="T62">
        <v>0</v>
      </c>
      <c r="U62">
        <v>0</v>
      </c>
    </row>
    <row r="63" spans="1:21" x14ac:dyDescent="0.3">
      <c r="A63" t="s">
        <v>66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2</v>
      </c>
      <c r="I63">
        <v>2</v>
      </c>
      <c r="J63">
        <v>1</v>
      </c>
      <c r="K63">
        <v>1</v>
      </c>
      <c r="L63">
        <v>3</v>
      </c>
      <c r="M63">
        <v>3</v>
      </c>
      <c r="N63">
        <v>2</v>
      </c>
      <c r="O63">
        <v>2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</row>
    <row r="64" spans="1:21" x14ac:dyDescent="0.3">
      <c r="A64" t="s">
        <v>67</v>
      </c>
      <c r="B64">
        <v>3</v>
      </c>
      <c r="C64">
        <v>3</v>
      </c>
      <c r="D64">
        <v>4</v>
      </c>
      <c r="E64">
        <v>4</v>
      </c>
      <c r="F64">
        <v>1</v>
      </c>
      <c r="G64">
        <v>1</v>
      </c>
      <c r="H64">
        <v>1</v>
      </c>
      <c r="I64">
        <v>1</v>
      </c>
      <c r="J64">
        <v>2</v>
      </c>
      <c r="K64">
        <v>2</v>
      </c>
      <c r="L64">
        <v>2</v>
      </c>
      <c r="M64">
        <v>2</v>
      </c>
      <c r="N64">
        <v>4</v>
      </c>
      <c r="O64">
        <v>4</v>
      </c>
      <c r="P64">
        <v>1</v>
      </c>
      <c r="Q64">
        <v>1</v>
      </c>
      <c r="R64">
        <v>4</v>
      </c>
      <c r="S64">
        <v>4</v>
      </c>
      <c r="T64">
        <v>1</v>
      </c>
      <c r="U64">
        <v>1</v>
      </c>
    </row>
    <row r="65" spans="1:21" x14ac:dyDescent="0.3">
      <c r="A65" t="s">
        <v>68</v>
      </c>
      <c r="B65">
        <v>2</v>
      </c>
      <c r="C65">
        <v>2</v>
      </c>
      <c r="D65">
        <v>1</v>
      </c>
      <c r="E65">
        <v>1</v>
      </c>
      <c r="F65">
        <v>0</v>
      </c>
      <c r="G65">
        <v>0</v>
      </c>
      <c r="H65">
        <v>2</v>
      </c>
      <c r="I65">
        <v>2</v>
      </c>
      <c r="J65">
        <v>1</v>
      </c>
      <c r="K65">
        <v>1</v>
      </c>
      <c r="L65">
        <v>3</v>
      </c>
      <c r="M65">
        <v>3</v>
      </c>
      <c r="N65">
        <v>2</v>
      </c>
      <c r="O65">
        <v>2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</row>
    <row r="66" spans="1:21" x14ac:dyDescent="0.3">
      <c r="A66" t="s">
        <v>69</v>
      </c>
      <c r="B66">
        <v>3</v>
      </c>
      <c r="C66">
        <v>3</v>
      </c>
      <c r="D66">
        <v>4</v>
      </c>
      <c r="E66">
        <v>4</v>
      </c>
      <c r="F66">
        <v>4</v>
      </c>
      <c r="G66">
        <v>4</v>
      </c>
      <c r="H66">
        <v>2</v>
      </c>
      <c r="I66">
        <v>2</v>
      </c>
      <c r="J66">
        <v>1</v>
      </c>
      <c r="K66">
        <v>1</v>
      </c>
      <c r="L66">
        <v>2</v>
      </c>
      <c r="M66">
        <v>2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2</v>
      </c>
      <c r="U66">
        <v>2</v>
      </c>
    </row>
    <row r="67" spans="1:21" x14ac:dyDescent="0.3">
      <c r="A67" t="s">
        <v>70</v>
      </c>
      <c r="B67">
        <v>2</v>
      </c>
      <c r="C67">
        <v>2</v>
      </c>
      <c r="D67">
        <v>0</v>
      </c>
      <c r="E67">
        <v>0</v>
      </c>
      <c r="F67">
        <v>1</v>
      </c>
      <c r="G67">
        <v>1</v>
      </c>
      <c r="H67">
        <v>0</v>
      </c>
      <c r="I67">
        <v>0</v>
      </c>
      <c r="J67">
        <v>1</v>
      </c>
      <c r="K67">
        <v>1</v>
      </c>
      <c r="L67">
        <v>3</v>
      </c>
      <c r="M67">
        <v>3</v>
      </c>
      <c r="N67">
        <v>1</v>
      </c>
      <c r="O67">
        <v>1</v>
      </c>
      <c r="P67">
        <v>2</v>
      </c>
      <c r="Q67">
        <v>2</v>
      </c>
      <c r="R67">
        <v>1</v>
      </c>
      <c r="S67">
        <v>1</v>
      </c>
      <c r="T67">
        <v>1</v>
      </c>
      <c r="U67">
        <v>1</v>
      </c>
    </row>
    <row r="68" spans="1:21" x14ac:dyDescent="0.3">
      <c r="A68" t="s">
        <v>71</v>
      </c>
      <c r="B68">
        <v>3</v>
      </c>
      <c r="C68">
        <v>3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4</v>
      </c>
      <c r="M68">
        <v>4</v>
      </c>
      <c r="N68">
        <v>4</v>
      </c>
      <c r="O68">
        <v>4</v>
      </c>
      <c r="P68">
        <v>1</v>
      </c>
      <c r="Q68">
        <v>1</v>
      </c>
      <c r="R68">
        <v>5</v>
      </c>
      <c r="S68">
        <v>5</v>
      </c>
      <c r="T68">
        <v>1</v>
      </c>
      <c r="U68">
        <v>1</v>
      </c>
    </row>
    <row r="69" spans="1:21" x14ac:dyDescent="0.3">
      <c r="A69" t="s">
        <v>72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2</v>
      </c>
      <c r="I69">
        <v>2</v>
      </c>
      <c r="J69">
        <v>1</v>
      </c>
      <c r="K69">
        <v>1</v>
      </c>
      <c r="L69">
        <v>3</v>
      </c>
      <c r="M69">
        <v>3</v>
      </c>
      <c r="N69">
        <v>2</v>
      </c>
      <c r="O69">
        <v>2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</row>
    <row r="70" spans="1:21" x14ac:dyDescent="0.3">
      <c r="A70" t="s">
        <v>73</v>
      </c>
      <c r="B70">
        <v>2</v>
      </c>
      <c r="C70">
        <v>2</v>
      </c>
      <c r="D70">
        <v>1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1</v>
      </c>
      <c r="L70">
        <v>4</v>
      </c>
      <c r="M70">
        <v>4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4</v>
      </c>
      <c r="U70">
        <v>4</v>
      </c>
    </row>
    <row r="71" spans="1:21" x14ac:dyDescent="0.3">
      <c r="A71" t="s">
        <v>74</v>
      </c>
      <c r="B71">
        <v>2</v>
      </c>
      <c r="C71">
        <v>2</v>
      </c>
      <c r="D71">
        <v>1</v>
      </c>
      <c r="E71">
        <v>1</v>
      </c>
      <c r="F71">
        <v>0</v>
      </c>
      <c r="G71">
        <v>0</v>
      </c>
      <c r="H71">
        <v>2</v>
      </c>
      <c r="I71">
        <v>2</v>
      </c>
      <c r="J71">
        <v>1</v>
      </c>
      <c r="K71">
        <v>1</v>
      </c>
      <c r="L71">
        <v>2</v>
      </c>
      <c r="M71">
        <v>2</v>
      </c>
      <c r="N71">
        <v>1</v>
      </c>
      <c r="O71">
        <v>1</v>
      </c>
      <c r="P71">
        <v>1</v>
      </c>
      <c r="Q71">
        <v>1</v>
      </c>
      <c r="R71">
        <v>3</v>
      </c>
      <c r="S71">
        <v>3</v>
      </c>
      <c r="T71">
        <v>2</v>
      </c>
      <c r="U7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E8B4-16F9-4429-87D2-77949B5AAED0}">
  <dimension ref="A1:L134"/>
  <sheetViews>
    <sheetView topLeftCell="A64" workbookViewId="0">
      <selection activeCell="B92" sqref="A2:B92"/>
    </sheetView>
  </sheetViews>
  <sheetFormatPr defaultColWidth="11.5546875" defaultRowHeight="14.4" x14ac:dyDescent="0.3"/>
  <cols>
    <col min="2" max="2" width="29.33203125" customWidth="1"/>
    <col min="3" max="4" width="13" customWidth="1"/>
  </cols>
  <sheetData>
    <row r="1" spans="1:12" x14ac:dyDescent="0.3">
      <c r="A1" s="2" t="s">
        <v>0</v>
      </c>
      <c r="B1" s="3" t="s">
        <v>78</v>
      </c>
      <c r="C1" s="3" t="s">
        <v>212</v>
      </c>
      <c r="D1" s="3" t="s">
        <v>213</v>
      </c>
    </row>
    <row r="2" spans="1:12" x14ac:dyDescent="0.3">
      <c r="A2" s="6" t="s">
        <v>5</v>
      </c>
      <c r="B2" s="4" t="s">
        <v>75</v>
      </c>
      <c r="C2" s="5">
        <v>0</v>
      </c>
      <c r="D2" s="5">
        <v>0</v>
      </c>
    </row>
    <row r="3" spans="1:12" x14ac:dyDescent="0.3">
      <c r="A3" s="6" t="s">
        <v>27</v>
      </c>
      <c r="B3" s="4" t="s">
        <v>75</v>
      </c>
      <c r="C3" s="5">
        <v>0</v>
      </c>
      <c r="D3" s="1">
        <v>0</v>
      </c>
    </row>
    <row r="4" spans="1:12" x14ac:dyDescent="0.3">
      <c r="A4" s="6" t="s">
        <v>34</v>
      </c>
      <c r="B4" s="4" t="s">
        <v>75</v>
      </c>
      <c r="C4" s="5">
        <v>0</v>
      </c>
      <c r="D4" s="5">
        <v>0</v>
      </c>
      <c r="H4" s="8"/>
      <c r="I4" t="s">
        <v>210</v>
      </c>
      <c r="L4" t="s">
        <v>211</v>
      </c>
    </row>
    <row r="5" spans="1:12" x14ac:dyDescent="0.3">
      <c r="A5" s="6" t="s">
        <v>47</v>
      </c>
      <c r="B5" s="4" t="s">
        <v>75</v>
      </c>
      <c r="C5" s="5">
        <v>0</v>
      </c>
      <c r="D5" s="5">
        <v>0</v>
      </c>
      <c r="H5" s="11"/>
      <c r="I5" t="s">
        <v>216</v>
      </c>
      <c r="L5" t="s">
        <v>214</v>
      </c>
    </row>
    <row r="6" spans="1:12" x14ac:dyDescent="0.3">
      <c r="A6" s="6" t="s">
        <v>50</v>
      </c>
      <c r="B6" s="4" t="s">
        <v>75</v>
      </c>
      <c r="C6" s="5">
        <v>0</v>
      </c>
      <c r="D6" s="5">
        <v>0</v>
      </c>
    </row>
    <row r="7" spans="1:12" x14ac:dyDescent="0.3">
      <c r="A7" s="6" t="s">
        <v>145</v>
      </c>
      <c r="B7" s="4" t="s">
        <v>75</v>
      </c>
      <c r="C7" s="5">
        <v>0</v>
      </c>
      <c r="D7" s="5">
        <v>0</v>
      </c>
    </row>
    <row r="8" spans="1:12" x14ac:dyDescent="0.3">
      <c r="A8" s="6" t="s">
        <v>54</v>
      </c>
      <c r="B8" s="4" t="s">
        <v>75</v>
      </c>
      <c r="C8" s="5">
        <v>0</v>
      </c>
      <c r="D8" s="5">
        <v>0</v>
      </c>
    </row>
    <row r="9" spans="1:12" x14ac:dyDescent="0.3">
      <c r="A9" s="7" t="s">
        <v>110</v>
      </c>
      <c r="B9" s="4" t="s">
        <v>75</v>
      </c>
      <c r="C9" s="1">
        <v>10.778194000000001</v>
      </c>
      <c r="D9" s="1">
        <v>0.65614165000000002</v>
      </c>
    </row>
    <row r="10" spans="1:12" x14ac:dyDescent="0.3">
      <c r="A10" s="7" t="s">
        <v>21</v>
      </c>
      <c r="B10" s="4" t="s">
        <v>75</v>
      </c>
      <c r="C10" s="1">
        <v>6.4383875000000002</v>
      </c>
      <c r="D10" s="1">
        <v>0.25856800000000002</v>
      </c>
    </row>
    <row r="11" spans="1:12" x14ac:dyDescent="0.3">
      <c r="A11" s="7" t="s">
        <v>23</v>
      </c>
      <c r="B11" s="4" t="s">
        <v>75</v>
      </c>
      <c r="C11" s="1">
        <v>0.96435349999999997</v>
      </c>
      <c r="D11" s="1">
        <v>0.18998129999999999</v>
      </c>
    </row>
    <row r="12" spans="1:12" x14ac:dyDescent="0.3">
      <c r="A12" s="7" t="s">
        <v>146</v>
      </c>
      <c r="B12" s="4" t="s">
        <v>130</v>
      </c>
      <c r="C12" s="1">
        <v>0</v>
      </c>
      <c r="D12" s="1">
        <v>0</v>
      </c>
    </row>
    <row r="13" spans="1:12" x14ac:dyDescent="0.3">
      <c r="A13" s="7" t="s">
        <v>32</v>
      </c>
      <c r="B13" s="4" t="s">
        <v>75</v>
      </c>
      <c r="C13" s="1">
        <v>0</v>
      </c>
      <c r="D13" s="1">
        <v>0</v>
      </c>
    </row>
    <row r="14" spans="1:12" x14ac:dyDescent="0.3">
      <c r="A14" s="7" t="s">
        <v>37</v>
      </c>
      <c r="B14" s="4" t="s">
        <v>75</v>
      </c>
      <c r="C14" s="1">
        <v>5.1215669999999998</v>
      </c>
      <c r="D14" s="1">
        <v>0.30763020000000002</v>
      </c>
    </row>
    <row r="15" spans="1:12" x14ac:dyDescent="0.3">
      <c r="A15" s="7" t="s">
        <v>64</v>
      </c>
      <c r="B15" s="4" t="s">
        <v>75</v>
      </c>
      <c r="C15" s="1">
        <v>7.6006124999999995</v>
      </c>
      <c r="D15" s="1">
        <v>0.34723335</v>
      </c>
    </row>
    <row r="16" spans="1:12" x14ac:dyDescent="0.3">
      <c r="A16" s="7" t="s">
        <v>71</v>
      </c>
      <c r="B16" s="4" t="s">
        <v>75</v>
      </c>
      <c r="C16" s="1">
        <v>0</v>
      </c>
      <c r="D16" s="1">
        <v>0</v>
      </c>
    </row>
    <row r="17" spans="1:4" x14ac:dyDescent="0.3">
      <c r="A17" s="7" t="s">
        <v>117</v>
      </c>
      <c r="B17" s="4" t="s">
        <v>135</v>
      </c>
      <c r="C17" s="1">
        <v>0.14645949999999999</v>
      </c>
      <c r="D17" s="1">
        <v>0.28881309999999999</v>
      </c>
    </row>
    <row r="18" spans="1:4" x14ac:dyDescent="0.3">
      <c r="A18" s="7" t="s">
        <v>106</v>
      </c>
      <c r="B18" s="4" t="s">
        <v>75</v>
      </c>
      <c r="C18" s="1">
        <v>20.158569</v>
      </c>
      <c r="D18" s="1">
        <v>0.71086130000000003</v>
      </c>
    </row>
    <row r="19" spans="1:4" x14ac:dyDescent="0.3">
      <c r="A19" s="7" t="s">
        <v>118</v>
      </c>
      <c r="B19" s="4" t="s">
        <v>138</v>
      </c>
      <c r="C19" s="1">
        <v>0.34676749999999995</v>
      </c>
      <c r="D19" s="1">
        <v>0.17233345</v>
      </c>
    </row>
    <row r="20" spans="1:4" x14ac:dyDescent="0.3">
      <c r="A20" s="7" t="s">
        <v>95</v>
      </c>
      <c r="B20" s="4" t="s">
        <v>135</v>
      </c>
      <c r="C20" s="1">
        <v>1.492192</v>
      </c>
      <c r="D20" s="1">
        <v>0.40039130000000001</v>
      </c>
    </row>
    <row r="21" spans="1:4" x14ac:dyDescent="0.3">
      <c r="A21" s="7" t="s">
        <v>102</v>
      </c>
      <c r="B21" s="4" t="s">
        <v>135</v>
      </c>
      <c r="C21" s="1">
        <v>0.62875700000000001</v>
      </c>
      <c r="D21" s="1">
        <v>0.32906004999999999</v>
      </c>
    </row>
    <row r="22" spans="1:4" x14ac:dyDescent="0.3">
      <c r="A22" s="7" t="s">
        <v>103</v>
      </c>
      <c r="B22" s="4" t="s">
        <v>77</v>
      </c>
      <c r="C22" s="1">
        <v>1.390922</v>
      </c>
      <c r="D22" s="1">
        <v>0.19629274999999999</v>
      </c>
    </row>
    <row r="23" spans="1:4" x14ac:dyDescent="0.3">
      <c r="A23" s="7" t="s">
        <v>114</v>
      </c>
      <c r="B23" s="4" t="s">
        <v>135</v>
      </c>
      <c r="C23" s="1">
        <v>0.54737599999999997</v>
      </c>
      <c r="D23" s="1">
        <v>0.17785365</v>
      </c>
    </row>
    <row r="24" spans="1:4" x14ac:dyDescent="0.3">
      <c r="A24" s="7" t="s">
        <v>147</v>
      </c>
      <c r="B24" s="4" t="s">
        <v>75</v>
      </c>
      <c r="C24" s="1">
        <v>8.3321744999999989</v>
      </c>
      <c r="D24" s="1">
        <v>0.30305120000000002</v>
      </c>
    </row>
    <row r="25" spans="1:4" x14ac:dyDescent="0.3">
      <c r="A25" s="7" t="s">
        <v>148</v>
      </c>
      <c r="B25" s="4" t="s">
        <v>135</v>
      </c>
      <c r="C25" s="1">
        <v>0.7963865</v>
      </c>
      <c r="D25" s="1">
        <v>0.22814490000000001</v>
      </c>
    </row>
    <row r="26" spans="1:4" x14ac:dyDescent="0.3">
      <c r="A26" s="7" t="s">
        <v>105</v>
      </c>
      <c r="B26" s="4" t="s">
        <v>138</v>
      </c>
      <c r="C26" s="1">
        <v>0.129996</v>
      </c>
      <c r="D26" s="1">
        <v>0.16302405</v>
      </c>
    </row>
    <row r="27" spans="1:4" x14ac:dyDescent="0.3">
      <c r="A27" s="7" t="s">
        <v>149</v>
      </c>
      <c r="B27" s="4" t="s">
        <v>75</v>
      </c>
      <c r="C27" s="1">
        <v>13.3260595</v>
      </c>
      <c r="D27" s="1">
        <v>0.45108535</v>
      </c>
    </row>
    <row r="28" spans="1:4" x14ac:dyDescent="0.3">
      <c r="A28" s="7" t="s">
        <v>150</v>
      </c>
      <c r="B28" s="4" t="s">
        <v>75</v>
      </c>
      <c r="C28" s="1">
        <v>5.7723864999999996</v>
      </c>
      <c r="D28" s="1">
        <v>0.25175724999999999</v>
      </c>
    </row>
    <row r="29" spans="1:4" x14ac:dyDescent="0.3">
      <c r="A29" s="7" t="s">
        <v>151</v>
      </c>
      <c r="B29" s="4" t="s">
        <v>135</v>
      </c>
      <c r="C29" s="1">
        <v>0.56286749999999997</v>
      </c>
      <c r="D29" s="1">
        <v>0.36643409999999998</v>
      </c>
    </row>
    <row r="30" spans="1:4" x14ac:dyDescent="0.3">
      <c r="A30" s="7" t="s">
        <v>152</v>
      </c>
      <c r="B30" s="4" t="s">
        <v>75</v>
      </c>
      <c r="C30" s="1">
        <v>2.5361244999999997</v>
      </c>
      <c r="D30" s="1">
        <v>0.50310469999999996</v>
      </c>
    </row>
    <row r="31" spans="1:4" x14ac:dyDescent="0.3">
      <c r="A31" s="7" t="s">
        <v>92</v>
      </c>
      <c r="B31" s="4" t="s">
        <v>76</v>
      </c>
      <c r="C31" s="1">
        <v>0.93883899999999998</v>
      </c>
      <c r="D31" s="1">
        <v>0.16847685000000001</v>
      </c>
    </row>
    <row r="32" spans="1:4" x14ac:dyDescent="0.3">
      <c r="A32" s="7" t="s">
        <v>107</v>
      </c>
      <c r="B32" s="4" t="s">
        <v>75</v>
      </c>
      <c r="C32" s="1">
        <v>8.5407409999999988</v>
      </c>
      <c r="D32" s="1">
        <v>0.41770930000000001</v>
      </c>
    </row>
    <row r="33" spans="1:4" x14ac:dyDescent="0.3">
      <c r="A33" s="7" t="s">
        <v>99</v>
      </c>
      <c r="B33" s="4" t="s">
        <v>138</v>
      </c>
      <c r="C33" s="1">
        <v>1.295194</v>
      </c>
      <c r="D33" s="1">
        <v>0.22387024999999999</v>
      </c>
    </row>
    <row r="34" spans="1:4" x14ac:dyDescent="0.3">
      <c r="A34" s="7" t="s">
        <v>101</v>
      </c>
      <c r="B34" s="4" t="s">
        <v>77</v>
      </c>
      <c r="C34" s="1">
        <v>3.4279454999999994</v>
      </c>
      <c r="D34" s="1">
        <v>0.24373405000000001</v>
      </c>
    </row>
    <row r="35" spans="1:4" x14ac:dyDescent="0.3">
      <c r="A35" s="7" t="s">
        <v>111</v>
      </c>
      <c r="B35" s="4" t="s">
        <v>135</v>
      </c>
      <c r="C35" s="1">
        <v>0.75525549999999997</v>
      </c>
      <c r="D35" s="1">
        <v>0.27096874999999998</v>
      </c>
    </row>
    <row r="36" spans="1:4" x14ac:dyDescent="0.3">
      <c r="A36" s="7" t="s">
        <v>153</v>
      </c>
      <c r="B36" s="4" t="s">
        <v>75</v>
      </c>
      <c r="C36" s="1">
        <v>2.5713094999999999</v>
      </c>
      <c r="D36" s="1">
        <v>0.20951880000000001</v>
      </c>
    </row>
    <row r="37" spans="1:4" x14ac:dyDescent="0.3">
      <c r="A37" s="7" t="s">
        <v>154</v>
      </c>
      <c r="B37" s="4" t="s">
        <v>75</v>
      </c>
      <c r="C37" s="1">
        <v>6.3425744999999996</v>
      </c>
      <c r="D37" s="1">
        <v>0.39887539999999999</v>
      </c>
    </row>
    <row r="38" spans="1:4" x14ac:dyDescent="0.3">
      <c r="A38" s="7" t="s">
        <v>155</v>
      </c>
      <c r="B38" s="4" t="s">
        <v>75</v>
      </c>
      <c r="C38" s="1">
        <v>11.9021945</v>
      </c>
      <c r="D38" s="1">
        <v>0.53247160000000004</v>
      </c>
    </row>
    <row r="39" spans="1:4" x14ac:dyDescent="0.3">
      <c r="A39" s="7" t="s">
        <v>156</v>
      </c>
      <c r="B39" s="4" t="s">
        <v>75</v>
      </c>
      <c r="C39" s="1">
        <v>2.1582629999999998</v>
      </c>
      <c r="D39" s="1">
        <v>0.21692230000000001</v>
      </c>
    </row>
    <row r="40" spans="1:4" x14ac:dyDescent="0.3">
      <c r="A40" s="7" t="s">
        <v>157</v>
      </c>
      <c r="B40" s="4" t="s">
        <v>75</v>
      </c>
      <c r="C40" s="1">
        <v>0</v>
      </c>
      <c r="D40" s="1">
        <v>0</v>
      </c>
    </row>
    <row r="41" spans="1:4" x14ac:dyDescent="0.3">
      <c r="A41" s="7" t="s">
        <v>158</v>
      </c>
      <c r="B41" s="4" t="s">
        <v>75</v>
      </c>
      <c r="C41" s="1">
        <v>4.0548089999999997</v>
      </c>
      <c r="D41" s="1">
        <v>0.33101000000000003</v>
      </c>
    </row>
    <row r="42" spans="1:4" x14ac:dyDescent="0.3">
      <c r="A42" s="7" t="s">
        <v>159</v>
      </c>
      <c r="B42" s="4" t="s">
        <v>75</v>
      </c>
      <c r="C42" s="1">
        <v>7.3692440000000001</v>
      </c>
      <c r="D42" s="1">
        <v>0.45504475</v>
      </c>
    </row>
    <row r="43" spans="1:4" x14ac:dyDescent="0.3">
      <c r="A43" s="7" t="s">
        <v>160</v>
      </c>
      <c r="B43" s="4" t="s">
        <v>144</v>
      </c>
      <c r="C43" s="1">
        <v>2.1677329999999997</v>
      </c>
      <c r="D43" s="1">
        <v>0.21109839999999999</v>
      </c>
    </row>
    <row r="44" spans="1:4" x14ac:dyDescent="0.3">
      <c r="A44" s="7" t="s">
        <v>161</v>
      </c>
      <c r="B44" s="4" t="s">
        <v>75</v>
      </c>
      <c r="C44" s="1">
        <v>5.9429425</v>
      </c>
      <c r="D44" s="1">
        <v>0.29979660000000002</v>
      </c>
    </row>
    <row r="45" spans="1:4" x14ac:dyDescent="0.3">
      <c r="A45" s="7" t="s">
        <v>162</v>
      </c>
      <c r="B45" s="4" t="s">
        <v>75</v>
      </c>
      <c r="C45" s="1">
        <v>2.8492474999999997</v>
      </c>
      <c r="D45" s="1">
        <v>0.19471084999999999</v>
      </c>
    </row>
    <row r="46" spans="1:4" x14ac:dyDescent="0.3">
      <c r="A46" s="7" t="s">
        <v>163</v>
      </c>
      <c r="B46" s="4" t="s">
        <v>75</v>
      </c>
      <c r="C46" s="1">
        <v>5.2712944999999998</v>
      </c>
      <c r="D46" s="1">
        <v>0.39997690000000002</v>
      </c>
    </row>
    <row r="47" spans="1:4" x14ac:dyDescent="0.3">
      <c r="A47" s="7" t="s">
        <v>164</v>
      </c>
      <c r="B47" s="4" t="s">
        <v>75</v>
      </c>
      <c r="C47" s="1">
        <v>6.6318934999999994</v>
      </c>
      <c r="D47" s="1">
        <v>0.31926155000000001</v>
      </c>
    </row>
    <row r="48" spans="1:4" x14ac:dyDescent="0.3">
      <c r="A48" s="7" t="s">
        <v>165</v>
      </c>
      <c r="B48" s="4" t="s">
        <v>75</v>
      </c>
      <c r="C48" s="1">
        <v>0</v>
      </c>
      <c r="D48" s="1">
        <v>0</v>
      </c>
    </row>
    <row r="49" spans="1:4" x14ac:dyDescent="0.3">
      <c r="A49" s="7" t="s">
        <v>166</v>
      </c>
      <c r="B49" s="4" t="s">
        <v>75</v>
      </c>
      <c r="C49" s="1">
        <v>5.1808244999999991</v>
      </c>
      <c r="D49" s="1">
        <v>0.16441595000000001</v>
      </c>
    </row>
    <row r="50" spans="1:4" x14ac:dyDescent="0.3">
      <c r="A50" s="7" t="s">
        <v>167</v>
      </c>
      <c r="B50" s="4" t="s">
        <v>75</v>
      </c>
      <c r="C50" s="1">
        <v>0</v>
      </c>
      <c r="D50" s="1">
        <v>0</v>
      </c>
    </row>
    <row r="51" spans="1:4" x14ac:dyDescent="0.3">
      <c r="A51" s="7" t="s">
        <v>168</v>
      </c>
      <c r="B51" s="4" t="s">
        <v>75</v>
      </c>
      <c r="C51" s="1">
        <v>5.2675625000000004</v>
      </c>
      <c r="D51" s="1">
        <v>0.25120274999999997</v>
      </c>
    </row>
    <row r="52" spans="1:4" x14ac:dyDescent="0.3">
      <c r="A52" s="7" t="s">
        <v>169</v>
      </c>
      <c r="B52" s="4" t="s">
        <v>75</v>
      </c>
      <c r="C52" s="1">
        <v>6.3125554999999993</v>
      </c>
      <c r="D52" s="1">
        <v>0.38181340000000002</v>
      </c>
    </row>
    <row r="53" spans="1:4" x14ac:dyDescent="0.3">
      <c r="A53" s="7" t="s">
        <v>170</v>
      </c>
      <c r="B53" s="4" t="s">
        <v>75</v>
      </c>
      <c r="C53" s="1">
        <v>9.0473619999999997</v>
      </c>
      <c r="D53" s="1">
        <v>0.37378460000000002</v>
      </c>
    </row>
    <row r="54" spans="1:4" x14ac:dyDescent="0.3">
      <c r="A54" s="7" t="s">
        <v>171</v>
      </c>
      <c r="B54" s="4" t="s">
        <v>75</v>
      </c>
      <c r="C54" s="1">
        <v>5.4344299999999999</v>
      </c>
      <c r="D54" s="1">
        <v>0.3754092</v>
      </c>
    </row>
    <row r="55" spans="1:4" x14ac:dyDescent="0.3">
      <c r="A55" s="7" t="s">
        <v>172</v>
      </c>
      <c r="B55" s="4" t="s">
        <v>75</v>
      </c>
      <c r="C55" s="1">
        <v>3.1930265000000002</v>
      </c>
      <c r="D55" s="1">
        <v>0.24166099999999999</v>
      </c>
    </row>
    <row r="56" spans="1:4" x14ac:dyDescent="0.3">
      <c r="A56" s="7" t="s">
        <v>173</v>
      </c>
      <c r="B56" s="4" t="s">
        <v>75</v>
      </c>
      <c r="C56" s="1">
        <v>5.3393480000000002</v>
      </c>
      <c r="D56" s="1">
        <v>0.32968904999999998</v>
      </c>
    </row>
    <row r="57" spans="1:4" x14ac:dyDescent="0.3">
      <c r="A57" s="7" t="s">
        <v>174</v>
      </c>
      <c r="B57" s="4" t="s">
        <v>75</v>
      </c>
      <c r="C57" s="1">
        <v>11.658576</v>
      </c>
      <c r="D57" s="1">
        <v>0.52078950000000002</v>
      </c>
    </row>
    <row r="58" spans="1:4" x14ac:dyDescent="0.3">
      <c r="A58" s="7" t="s">
        <v>175</v>
      </c>
      <c r="B58" s="4" t="s">
        <v>75</v>
      </c>
      <c r="C58" s="1">
        <v>2.8060404999999999</v>
      </c>
      <c r="D58" s="1">
        <v>0.27224330000000002</v>
      </c>
    </row>
    <row r="59" spans="1:4" x14ac:dyDescent="0.3">
      <c r="A59" s="7" t="s">
        <v>176</v>
      </c>
      <c r="B59" s="4" t="s">
        <v>75</v>
      </c>
      <c r="C59" s="1">
        <v>8.8374074999999994</v>
      </c>
      <c r="D59" s="1">
        <v>0.45978540000000001</v>
      </c>
    </row>
    <row r="60" spans="1:4" x14ac:dyDescent="0.3">
      <c r="A60" s="7" t="s">
        <v>177</v>
      </c>
      <c r="B60" s="4" t="s">
        <v>75</v>
      </c>
      <c r="C60" s="1">
        <v>1.9526559999999999</v>
      </c>
      <c r="D60" s="1">
        <v>0.36581415</v>
      </c>
    </row>
    <row r="61" spans="1:4" x14ac:dyDescent="0.3">
      <c r="A61" s="7" t="s">
        <v>178</v>
      </c>
      <c r="B61" s="4" t="s">
        <v>75</v>
      </c>
      <c r="C61" s="1">
        <v>2.6462814999999997</v>
      </c>
      <c r="D61" s="1">
        <v>0.2150289</v>
      </c>
    </row>
    <row r="62" spans="1:4" x14ac:dyDescent="0.3">
      <c r="A62" s="7" t="s">
        <v>179</v>
      </c>
      <c r="B62" s="4" t="s">
        <v>75</v>
      </c>
      <c r="C62" s="1">
        <v>3.8667220000000002</v>
      </c>
      <c r="D62" s="1">
        <v>0.24594505</v>
      </c>
    </row>
    <row r="63" spans="1:4" x14ac:dyDescent="0.3">
      <c r="A63" s="7" t="s">
        <v>180</v>
      </c>
      <c r="B63" s="4" t="s">
        <v>135</v>
      </c>
      <c r="C63" s="1">
        <v>0.37690950000000001</v>
      </c>
      <c r="D63" s="1">
        <v>0.21774014999999999</v>
      </c>
    </row>
    <row r="64" spans="1:4" x14ac:dyDescent="0.3">
      <c r="A64" s="7" t="s">
        <v>181</v>
      </c>
      <c r="B64" s="4" t="s">
        <v>75</v>
      </c>
      <c r="C64" s="1">
        <v>3.1190574999999998</v>
      </c>
      <c r="D64" s="1">
        <v>0.31230035</v>
      </c>
    </row>
    <row r="65" spans="1:4" x14ac:dyDescent="0.3">
      <c r="A65" s="7" t="s">
        <v>182</v>
      </c>
      <c r="B65" s="4" t="s">
        <v>135</v>
      </c>
      <c r="C65" s="1">
        <v>2.7293500000000002E-2</v>
      </c>
      <c r="D65" s="1">
        <v>0.16139885000000001</v>
      </c>
    </row>
    <row r="66" spans="1:4" x14ac:dyDescent="0.3">
      <c r="A66" s="7" t="s">
        <v>183</v>
      </c>
      <c r="B66" s="4" t="s">
        <v>75</v>
      </c>
      <c r="C66" s="1">
        <v>1.5048765</v>
      </c>
      <c r="D66" s="1">
        <v>0.18893560000000001</v>
      </c>
    </row>
    <row r="67" spans="1:4" x14ac:dyDescent="0.3">
      <c r="A67" s="7" t="s">
        <v>184</v>
      </c>
      <c r="B67" s="4" t="s">
        <v>75</v>
      </c>
      <c r="C67" s="1">
        <v>0</v>
      </c>
      <c r="D67" s="1">
        <v>0</v>
      </c>
    </row>
    <row r="68" spans="1:4" x14ac:dyDescent="0.3">
      <c r="A68" s="7" t="s">
        <v>185</v>
      </c>
      <c r="B68" s="4" t="s">
        <v>135</v>
      </c>
      <c r="C68" s="1">
        <v>0.37261749999999999</v>
      </c>
      <c r="D68" s="1">
        <v>0.18386115</v>
      </c>
    </row>
    <row r="69" spans="1:4" x14ac:dyDescent="0.3">
      <c r="A69" s="7" t="s">
        <v>186</v>
      </c>
      <c r="B69" s="4" t="s">
        <v>135</v>
      </c>
      <c r="C69" s="1">
        <v>0.18140549999999997</v>
      </c>
      <c r="D69" s="1">
        <v>0.23945725000000001</v>
      </c>
    </row>
    <row r="70" spans="1:4" x14ac:dyDescent="0.3">
      <c r="A70" s="7" t="s">
        <v>187</v>
      </c>
      <c r="B70" s="4" t="s">
        <v>75</v>
      </c>
      <c r="C70" s="1">
        <v>1.5821204999999998</v>
      </c>
      <c r="D70" s="1">
        <v>0.24837300000000001</v>
      </c>
    </row>
    <row r="71" spans="1:4" x14ac:dyDescent="0.3">
      <c r="A71" s="7" t="s">
        <v>188</v>
      </c>
      <c r="B71" s="4" t="s">
        <v>75</v>
      </c>
      <c r="C71" s="1">
        <v>0.88122800000000001</v>
      </c>
      <c r="D71" s="1">
        <v>0.30826144999999999</v>
      </c>
    </row>
    <row r="72" spans="1:4" x14ac:dyDescent="0.3">
      <c r="A72" s="7" t="s">
        <v>189</v>
      </c>
      <c r="B72" s="4" t="s">
        <v>135</v>
      </c>
      <c r="C72" s="1">
        <v>7.0606000000000002E-2</v>
      </c>
      <c r="D72" s="1">
        <v>0.1656753</v>
      </c>
    </row>
    <row r="73" spans="1:4" x14ac:dyDescent="0.3">
      <c r="A73" s="7" t="s">
        <v>190</v>
      </c>
      <c r="B73" s="4" t="s">
        <v>75</v>
      </c>
      <c r="C73" s="1">
        <v>4.2419794999999993</v>
      </c>
      <c r="D73" s="1">
        <v>0.38519750000000003</v>
      </c>
    </row>
    <row r="74" spans="1:4" x14ac:dyDescent="0.3">
      <c r="A74" s="7" t="s">
        <v>191</v>
      </c>
      <c r="B74" s="4" t="s">
        <v>75</v>
      </c>
      <c r="C74" s="1">
        <v>5.5370529999999993</v>
      </c>
      <c r="D74" s="1">
        <v>0.30929604999999999</v>
      </c>
    </row>
    <row r="75" spans="1:4" x14ac:dyDescent="0.3">
      <c r="A75" s="7" t="s">
        <v>192</v>
      </c>
      <c r="B75" s="4" t="s">
        <v>75</v>
      </c>
      <c r="C75" s="1">
        <v>1.8732834999999999</v>
      </c>
      <c r="D75" s="1">
        <v>0.23679320000000001</v>
      </c>
    </row>
    <row r="76" spans="1:4" x14ac:dyDescent="0.3">
      <c r="A76" s="7" t="s">
        <v>193</v>
      </c>
      <c r="B76" s="4" t="s">
        <v>75</v>
      </c>
      <c r="C76" s="1">
        <v>2.642185</v>
      </c>
      <c r="D76" s="1">
        <v>0.24037254999999999</v>
      </c>
    </row>
    <row r="77" spans="1:4" x14ac:dyDescent="0.3">
      <c r="A77" s="7" t="s">
        <v>194</v>
      </c>
      <c r="B77" s="4" t="s">
        <v>135</v>
      </c>
      <c r="C77" s="1">
        <v>0.67107899999999998</v>
      </c>
      <c r="D77" s="1">
        <v>0.31247829999999999</v>
      </c>
    </row>
    <row r="78" spans="1:4" x14ac:dyDescent="0.3">
      <c r="A78" s="7" t="s">
        <v>195</v>
      </c>
      <c r="B78" s="4" t="s">
        <v>135</v>
      </c>
      <c r="C78" s="1">
        <v>0.288437</v>
      </c>
      <c r="D78" s="1">
        <v>0.21155025</v>
      </c>
    </row>
    <row r="79" spans="1:4" x14ac:dyDescent="0.3">
      <c r="A79" s="7" t="s">
        <v>196</v>
      </c>
      <c r="B79" s="4" t="s">
        <v>75</v>
      </c>
      <c r="C79" s="1">
        <v>5.7179639999999994</v>
      </c>
      <c r="D79" s="1">
        <v>0.33505380000000001</v>
      </c>
    </row>
    <row r="80" spans="1:4" x14ac:dyDescent="0.3">
      <c r="A80" s="7" t="s">
        <v>197</v>
      </c>
      <c r="B80" s="4" t="s">
        <v>75</v>
      </c>
      <c r="C80" s="1">
        <v>1.680121</v>
      </c>
      <c r="D80" s="1">
        <v>0.1934274</v>
      </c>
    </row>
    <row r="81" spans="1:4" x14ac:dyDescent="0.3">
      <c r="A81" s="7" t="s">
        <v>198</v>
      </c>
      <c r="B81" s="4" t="s">
        <v>75</v>
      </c>
      <c r="C81" s="1">
        <v>0</v>
      </c>
      <c r="D81" s="1">
        <v>0</v>
      </c>
    </row>
    <row r="82" spans="1:4" x14ac:dyDescent="0.3">
      <c r="A82" s="7" t="s">
        <v>199</v>
      </c>
      <c r="B82" s="4" t="s">
        <v>77</v>
      </c>
      <c r="C82" s="1">
        <v>10.378788499999999</v>
      </c>
      <c r="D82" s="1">
        <v>0.57130040000000004</v>
      </c>
    </row>
    <row r="83" spans="1:4" x14ac:dyDescent="0.3">
      <c r="A83" s="7" t="s">
        <v>200</v>
      </c>
      <c r="B83" s="4" t="s">
        <v>75</v>
      </c>
      <c r="C83" s="1">
        <v>8.4313369999999992</v>
      </c>
      <c r="D83" s="1">
        <v>0.46446710000000002</v>
      </c>
    </row>
    <row r="84" spans="1:4" x14ac:dyDescent="0.3">
      <c r="A84" s="7" t="s">
        <v>201</v>
      </c>
      <c r="B84" s="4" t="s">
        <v>135</v>
      </c>
      <c r="C84" s="1">
        <v>0.50280199999999997</v>
      </c>
      <c r="D84" s="1">
        <v>0.29074290000000003</v>
      </c>
    </row>
    <row r="85" spans="1:4" x14ac:dyDescent="0.3">
      <c r="A85" s="7" t="s">
        <v>202</v>
      </c>
      <c r="B85" s="4" t="s">
        <v>75</v>
      </c>
      <c r="C85" s="1">
        <v>8.3531864999999996</v>
      </c>
      <c r="D85" s="1">
        <v>0.39610689999999998</v>
      </c>
    </row>
    <row r="86" spans="1:4" x14ac:dyDescent="0.3">
      <c r="A86" s="7" t="s">
        <v>203</v>
      </c>
      <c r="B86" s="4" t="s">
        <v>135</v>
      </c>
      <c r="C86" s="1">
        <v>0.59563900000000003</v>
      </c>
      <c r="D86" s="1">
        <v>0.30080115000000002</v>
      </c>
    </row>
    <row r="87" spans="1:4" x14ac:dyDescent="0.3">
      <c r="A87" s="7" t="s">
        <v>204</v>
      </c>
      <c r="B87" s="4" t="s">
        <v>75</v>
      </c>
      <c r="C87" s="1">
        <v>10.0919025</v>
      </c>
      <c r="D87" s="1">
        <v>0.35126469999999999</v>
      </c>
    </row>
    <row r="88" spans="1:4" x14ac:dyDescent="0.3">
      <c r="A88" s="7" t="s">
        <v>205</v>
      </c>
      <c r="B88" s="4" t="s">
        <v>75</v>
      </c>
      <c r="C88" s="1">
        <v>1.8929989999999999</v>
      </c>
      <c r="D88" s="1">
        <v>0.1763922</v>
      </c>
    </row>
    <row r="89" spans="1:4" x14ac:dyDescent="0.3">
      <c r="A89" s="7" t="s">
        <v>206</v>
      </c>
      <c r="B89" s="4" t="s">
        <v>75</v>
      </c>
      <c r="C89" s="1">
        <v>6.9320294999999996</v>
      </c>
      <c r="D89" s="1">
        <v>0.2477249</v>
      </c>
    </row>
    <row r="90" spans="1:4" x14ac:dyDescent="0.3">
      <c r="A90" s="7" t="s">
        <v>207</v>
      </c>
      <c r="B90" s="4" t="s">
        <v>77</v>
      </c>
      <c r="C90" s="1">
        <v>6.9112169999999988</v>
      </c>
      <c r="D90" s="1">
        <v>0.37505555000000002</v>
      </c>
    </row>
    <row r="91" spans="1:4" x14ac:dyDescent="0.3">
      <c r="A91" s="7" t="s">
        <v>208</v>
      </c>
      <c r="B91" s="4" t="s">
        <v>75</v>
      </c>
      <c r="C91" s="1">
        <v>0</v>
      </c>
      <c r="D91" s="1">
        <v>0</v>
      </c>
    </row>
    <row r="92" spans="1:4" x14ac:dyDescent="0.3">
      <c r="A92" s="7" t="s">
        <v>209</v>
      </c>
      <c r="B92" s="4" t="s">
        <v>75</v>
      </c>
      <c r="C92" s="1">
        <v>2.1951259999999997</v>
      </c>
      <c r="D92" s="1">
        <v>0.18530495</v>
      </c>
    </row>
    <row r="93" spans="1:4" x14ac:dyDescent="0.3">
      <c r="A93" s="10" t="s">
        <v>220</v>
      </c>
      <c r="B93" s="4" t="s">
        <v>217</v>
      </c>
      <c r="C93" s="1">
        <v>0.27689000000000002</v>
      </c>
      <c r="D93" s="1" t="s">
        <v>215</v>
      </c>
    </row>
    <row r="94" spans="1:4" x14ac:dyDescent="0.3">
      <c r="A94" s="10" t="s">
        <v>221</v>
      </c>
      <c r="B94" s="4" t="s">
        <v>217</v>
      </c>
      <c r="C94" s="1">
        <v>3.9595299999999995</v>
      </c>
      <c r="D94" s="1" t="s">
        <v>215</v>
      </c>
    </row>
    <row r="95" spans="1:4" x14ac:dyDescent="0.3">
      <c r="A95" s="10" t="s">
        <v>12</v>
      </c>
      <c r="B95" s="4" t="s">
        <v>217</v>
      </c>
      <c r="C95" s="1">
        <v>5.8153499999999996</v>
      </c>
      <c r="D95" s="1" t="s">
        <v>215</v>
      </c>
    </row>
    <row r="96" spans="1:4" x14ac:dyDescent="0.3">
      <c r="A96" s="10" t="s">
        <v>13</v>
      </c>
      <c r="B96" s="4" t="s">
        <v>218</v>
      </c>
      <c r="C96" s="1">
        <v>1.03389</v>
      </c>
      <c r="D96" s="1" t="s">
        <v>215</v>
      </c>
    </row>
    <row r="97" spans="1:4" x14ac:dyDescent="0.3">
      <c r="A97" s="10" t="s">
        <v>6</v>
      </c>
      <c r="B97" s="4" t="s">
        <v>217</v>
      </c>
      <c r="C97" s="1">
        <v>7.6919899999999997</v>
      </c>
      <c r="D97" s="1" t="s">
        <v>215</v>
      </c>
    </row>
    <row r="98" spans="1:4" x14ac:dyDescent="0.3">
      <c r="A98" s="10" t="s">
        <v>7</v>
      </c>
      <c r="B98" s="4" t="s">
        <v>217</v>
      </c>
      <c r="C98" s="1">
        <v>13234.74</v>
      </c>
      <c r="D98" s="1" t="s">
        <v>215</v>
      </c>
    </row>
    <row r="99" spans="1:4" x14ac:dyDescent="0.3">
      <c r="A99" s="10" t="s">
        <v>9</v>
      </c>
      <c r="B99" s="12" t="s">
        <v>219</v>
      </c>
      <c r="C99" s="1">
        <v>2.1192699999999998</v>
      </c>
      <c r="D99" s="1" t="s">
        <v>215</v>
      </c>
    </row>
    <row r="100" spans="1:4" x14ac:dyDescent="0.3">
      <c r="A100" s="10" t="s">
        <v>10</v>
      </c>
      <c r="B100" s="4" t="s">
        <v>217</v>
      </c>
      <c r="C100" s="1">
        <v>5.8778700000000006</v>
      </c>
      <c r="D100" s="1" t="s">
        <v>215</v>
      </c>
    </row>
    <row r="101" spans="1:4" x14ac:dyDescent="0.3">
      <c r="A101" s="10" t="s">
        <v>116</v>
      </c>
      <c r="B101" s="4" t="s">
        <v>217</v>
      </c>
      <c r="C101" s="1">
        <v>18027.900000000001</v>
      </c>
      <c r="D101" s="1" t="s">
        <v>215</v>
      </c>
    </row>
    <row r="102" spans="1:4" x14ac:dyDescent="0.3">
      <c r="A102" s="10" t="s">
        <v>11</v>
      </c>
      <c r="B102" s="4" t="s">
        <v>217</v>
      </c>
      <c r="C102" s="1">
        <v>0.90206000000000008</v>
      </c>
      <c r="D102" s="1" t="s">
        <v>215</v>
      </c>
    </row>
    <row r="103" spans="1:4" x14ac:dyDescent="0.3">
      <c r="A103" s="10" t="s">
        <v>93</v>
      </c>
      <c r="B103" s="4" t="s">
        <v>217</v>
      </c>
      <c r="C103" s="1">
        <v>10384.629999999999</v>
      </c>
      <c r="D103" s="1" t="s">
        <v>215</v>
      </c>
    </row>
    <row r="104" spans="1:4" x14ac:dyDescent="0.3">
      <c r="A104" s="10" t="s">
        <v>22</v>
      </c>
      <c r="B104" s="4" t="s">
        <v>217</v>
      </c>
      <c r="C104" s="1">
        <v>10803.96</v>
      </c>
      <c r="D104" s="1" t="s">
        <v>215</v>
      </c>
    </row>
    <row r="105" spans="1:4" x14ac:dyDescent="0.3">
      <c r="A105" s="10" t="s">
        <v>14</v>
      </c>
      <c r="B105" s="12" t="s">
        <v>219</v>
      </c>
      <c r="C105" s="1">
        <v>4.5083599999999997</v>
      </c>
      <c r="D105" s="1" t="s">
        <v>215</v>
      </c>
    </row>
    <row r="106" spans="1:4" x14ac:dyDescent="0.3">
      <c r="A106" s="10" t="s">
        <v>15</v>
      </c>
      <c r="B106" s="4" t="s">
        <v>218</v>
      </c>
      <c r="C106" s="1">
        <v>6.7375599999999993</v>
      </c>
      <c r="D106" s="1" t="s">
        <v>215</v>
      </c>
    </row>
    <row r="107" spans="1:4" x14ac:dyDescent="0.3">
      <c r="A107" s="10" t="s">
        <v>19</v>
      </c>
      <c r="B107" s="12" t="s">
        <v>219</v>
      </c>
      <c r="C107" s="1">
        <v>14816.59</v>
      </c>
      <c r="D107" s="1" t="s">
        <v>215</v>
      </c>
    </row>
    <row r="108" spans="1:4" x14ac:dyDescent="0.3">
      <c r="A108" s="10" t="s">
        <v>24</v>
      </c>
      <c r="B108" s="4" t="s">
        <v>217</v>
      </c>
      <c r="C108" s="1">
        <v>3.3137500000000002</v>
      </c>
      <c r="D108" s="1" t="s">
        <v>215</v>
      </c>
    </row>
    <row r="109" spans="1:4" x14ac:dyDescent="0.3">
      <c r="A109" s="10" t="s">
        <v>25</v>
      </c>
      <c r="B109" s="4" t="s">
        <v>217</v>
      </c>
      <c r="C109" s="1">
        <v>3.5115699999999999</v>
      </c>
      <c r="D109" s="1" t="s">
        <v>215</v>
      </c>
    </row>
    <row r="110" spans="1:4" x14ac:dyDescent="0.3">
      <c r="A110" s="10" t="s">
        <v>20</v>
      </c>
      <c r="B110" s="4" t="s">
        <v>217</v>
      </c>
      <c r="C110" s="1">
        <v>15957.18</v>
      </c>
      <c r="D110" s="1" t="s">
        <v>215</v>
      </c>
    </row>
    <row r="111" spans="1:4" x14ac:dyDescent="0.3">
      <c r="A111" s="10" t="s">
        <v>40</v>
      </c>
      <c r="B111" s="4" t="s">
        <v>218</v>
      </c>
      <c r="C111" s="1">
        <v>4.7010700000000005</v>
      </c>
      <c r="D111" s="1" t="s">
        <v>215</v>
      </c>
    </row>
    <row r="112" spans="1:4" x14ac:dyDescent="0.3">
      <c r="A112" s="10" t="s">
        <v>26</v>
      </c>
      <c r="B112" s="4" t="s">
        <v>217</v>
      </c>
      <c r="C112" s="1">
        <v>0.01</v>
      </c>
      <c r="D112" s="1" t="s">
        <v>215</v>
      </c>
    </row>
    <row r="113" spans="1:4" x14ac:dyDescent="0.3">
      <c r="A113" s="10" t="s">
        <v>28</v>
      </c>
      <c r="B113" s="12" t="s">
        <v>219</v>
      </c>
      <c r="C113" s="1">
        <v>5.6006399999999994</v>
      </c>
      <c r="D113" s="1" t="s">
        <v>215</v>
      </c>
    </row>
    <row r="114" spans="1:4" x14ac:dyDescent="0.3">
      <c r="A114" s="10" t="s">
        <v>29</v>
      </c>
      <c r="B114" s="4" t="s">
        <v>218</v>
      </c>
      <c r="C114" s="1">
        <v>1.53233</v>
      </c>
      <c r="D114" s="1" t="s">
        <v>215</v>
      </c>
    </row>
    <row r="115" spans="1:4" x14ac:dyDescent="0.3">
      <c r="A115" s="10" t="s">
        <v>30</v>
      </c>
      <c r="B115" s="4" t="s">
        <v>218</v>
      </c>
      <c r="C115" s="1">
        <v>1.8546100000000001</v>
      </c>
      <c r="D115" s="1" t="s">
        <v>215</v>
      </c>
    </row>
    <row r="116" spans="1:4" x14ac:dyDescent="0.3">
      <c r="A116" s="10" t="s">
        <v>31</v>
      </c>
      <c r="B116" s="12" t="s">
        <v>219</v>
      </c>
      <c r="C116" s="1">
        <v>13371.26</v>
      </c>
      <c r="D116" s="1" t="s">
        <v>215</v>
      </c>
    </row>
    <row r="117" spans="1:4" x14ac:dyDescent="0.3">
      <c r="A117" s="10" t="s">
        <v>33</v>
      </c>
      <c r="B117" s="4" t="s">
        <v>217</v>
      </c>
      <c r="C117" s="1">
        <v>5.7930100000000007</v>
      </c>
      <c r="D117" s="1" t="s">
        <v>215</v>
      </c>
    </row>
    <row r="118" spans="1:4" x14ac:dyDescent="0.3">
      <c r="A118" s="10" t="s">
        <v>35</v>
      </c>
      <c r="B118" s="4" t="s">
        <v>217</v>
      </c>
      <c r="C118" s="1">
        <v>7.8775599999999999</v>
      </c>
      <c r="D118" s="1" t="s">
        <v>215</v>
      </c>
    </row>
    <row r="119" spans="1:4" x14ac:dyDescent="0.3">
      <c r="A119" s="10" t="s">
        <v>36</v>
      </c>
      <c r="B119" s="12" t="s">
        <v>219</v>
      </c>
      <c r="C119" s="1">
        <v>20050.310000000001</v>
      </c>
      <c r="D119" s="1" t="s">
        <v>215</v>
      </c>
    </row>
    <row r="120" spans="1:4" x14ac:dyDescent="0.3">
      <c r="A120" s="10" t="s">
        <v>38</v>
      </c>
      <c r="B120" s="4" t="s">
        <v>218</v>
      </c>
      <c r="C120" s="1">
        <v>3.1558499999999996</v>
      </c>
      <c r="D120" s="1" t="s">
        <v>215</v>
      </c>
    </row>
    <row r="121" spans="1:4" x14ac:dyDescent="0.3">
      <c r="A121" s="10" t="s">
        <v>48</v>
      </c>
      <c r="B121" s="4" t="s">
        <v>217</v>
      </c>
      <c r="C121" s="1">
        <v>5.7399300000000002</v>
      </c>
      <c r="D121" s="1" t="s">
        <v>215</v>
      </c>
    </row>
    <row r="122" spans="1:4" x14ac:dyDescent="0.3">
      <c r="A122" s="10" t="s">
        <v>49</v>
      </c>
      <c r="B122" s="4" t="s">
        <v>217</v>
      </c>
      <c r="C122" s="1">
        <v>18069.59</v>
      </c>
      <c r="D122" s="1" t="s">
        <v>215</v>
      </c>
    </row>
    <row r="123" spans="1:4" x14ac:dyDescent="0.3">
      <c r="A123" s="10" t="s">
        <v>51</v>
      </c>
      <c r="B123" s="4" t="s">
        <v>217</v>
      </c>
      <c r="C123" s="1">
        <v>7.6119899999999996</v>
      </c>
      <c r="D123" s="1" t="s">
        <v>215</v>
      </c>
    </row>
    <row r="124" spans="1:4" x14ac:dyDescent="0.3">
      <c r="A124" s="10" t="s">
        <v>52</v>
      </c>
      <c r="B124" s="4" t="s">
        <v>217</v>
      </c>
      <c r="C124" s="1">
        <v>9.8182500000000008</v>
      </c>
      <c r="D124" s="1" t="s">
        <v>215</v>
      </c>
    </row>
    <row r="125" spans="1:4" x14ac:dyDescent="0.3">
      <c r="A125" s="10" t="s">
        <v>58</v>
      </c>
      <c r="B125" s="4" t="s">
        <v>217</v>
      </c>
      <c r="C125" s="1">
        <v>2.5832899999999999</v>
      </c>
      <c r="D125" s="1" t="s">
        <v>215</v>
      </c>
    </row>
    <row r="126" spans="1:4" x14ac:dyDescent="0.3">
      <c r="A126" s="10" t="s">
        <v>222</v>
      </c>
      <c r="B126" s="4" t="s">
        <v>217</v>
      </c>
      <c r="C126" s="1">
        <v>5.8852900000000004</v>
      </c>
      <c r="D126" s="1" t="s">
        <v>215</v>
      </c>
    </row>
    <row r="127" spans="1:4" x14ac:dyDescent="0.3">
      <c r="A127" s="10" t="s">
        <v>59</v>
      </c>
      <c r="B127" s="4" t="s">
        <v>218</v>
      </c>
      <c r="C127" s="1">
        <v>1.617E-2</v>
      </c>
      <c r="D127" s="1" t="s">
        <v>215</v>
      </c>
    </row>
    <row r="128" spans="1:4" x14ac:dyDescent="0.3">
      <c r="A128" s="10" t="s">
        <v>60</v>
      </c>
      <c r="B128" s="4" t="s">
        <v>217</v>
      </c>
      <c r="C128" s="1">
        <v>12706.83</v>
      </c>
      <c r="D128" s="1" t="s">
        <v>215</v>
      </c>
    </row>
    <row r="129" spans="1:4" x14ac:dyDescent="0.3">
      <c r="A129" s="10" t="s">
        <v>61</v>
      </c>
      <c r="B129" s="4" t="s">
        <v>217</v>
      </c>
      <c r="C129" s="1">
        <v>1.5600899999999998</v>
      </c>
      <c r="D129" s="1" t="s">
        <v>215</v>
      </c>
    </row>
    <row r="130" spans="1:4" x14ac:dyDescent="0.3">
      <c r="A130" s="10" t="s">
        <v>62</v>
      </c>
      <c r="B130" s="4" t="s">
        <v>217</v>
      </c>
      <c r="C130" s="1">
        <v>3.72295</v>
      </c>
      <c r="D130" s="1" t="s">
        <v>215</v>
      </c>
    </row>
    <row r="131" spans="1:4" x14ac:dyDescent="0.3">
      <c r="A131" s="10" t="s">
        <v>68</v>
      </c>
      <c r="B131" s="4" t="s">
        <v>217</v>
      </c>
      <c r="C131" s="1">
        <v>13.150599999999999</v>
      </c>
      <c r="D131" s="1" t="s">
        <v>215</v>
      </c>
    </row>
    <row r="132" spans="1:4" x14ac:dyDescent="0.3">
      <c r="A132" s="10" t="s">
        <v>69</v>
      </c>
      <c r="B132" s="4" t="s">
        <v>218</v>
      </c>
      <c r="C132" s="1">
        <v>2.6669999999999999E-2</v>
      </c>
      <c r="D132" s="1" t="s">
        <v>215</v>
      </c>
    </row>
    <row r="133" spans="1:4" x14ac:dyDescent="0.3">
      <c r="A133" s="10" t="s">
        <v>113</v>
      </c>
      <c r="B133" s="4" t="s">
        <v>217</v>
      </c>
      <c r="C133" s="1">
        <v>3.5106000000000002</v>
      </c>
      <c r="D133" s="1" t="s">
        <v>215</v>
      </c>
    </row>
    <row r="134" spans="1:4" x14ac:dyDescent="0.3">
      <c r="A134" s="10" t="s">
        <v>72</v>
      </c>
      <c r="B134" s="4" t="s">
        <v>217</v>
      </c>
      <c r="C134" s="1">
        <v>33.510599999999997</v>
      </c>
      <c r="D134" s="1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1435-9AC9-47B8-9AC4-444F9BFF1984}">
  <dimension ref="A1:S134"/>
  <sheetViews>
    <sheetView workbookViewId="0">
      <selection sqref="A1:L1048576"/>
    </sheetView>
  </sheetViews>
  <sheetFormatPr defaultColWidth="11.5546875" defaultRowHeight="14.4" x14ac:dyDescent="0.3"/>
  <cols>
    <col min="2" max="2" width="16.21875" customWidth="1"/>
    <col min="3" max="3" width="12.77734375" customWidth="1"/>
    <col min="4" max="4" width="13.109375" customWidth="1"/>
    <col min="5" max="6" width="12" customWidth="1"/>
    <col min="7" max="7" width="21.33203125" customWidth="1"/>
  </cols>
  <sheetData>
    <row r="1" spans="1:19" ht="15.6" customHeight="1" x14ac:dyDescent="0.3">
      <c r="A1" s="13" t="s">
        <v>228</v>
      </c>
      <c r="B1" s="13" t="s">
        <v>229</v>
      </c>
      <c r="C1" s="13" t="s">
        <v>230</v>
      </c>
      <c r="D1" s="13" t="s">
        <v>234</v>
      </c>
      <c r="E1" s="13" t="s">
        <v>231</v>
      </c>
      <c r="F1" s="13" t="s">
        <v>232</v>
      </c>
      <c r="G1" s="13" t="s">
        <v>233</v>
      </c>
      <c r="H1" s="13" t="s">
        <v>235</v>
      </c>
      <c r="I1" s="3" t="s">
        <v>78</v>
      </c>
      <c r="J1" s="3" t="s">
        <v>212</v>
      </c>
      <c r="K1" s="3" t="s">
        <v>213</v>
      </c>
      <c r="O1" s="2" t="s">
        <v>0</v>
      </c>
      <c r="P1" s="3" t="s">
        <v>78</v>
      </c>
      <c r="Q1" s="3" t="s">
        <v>212</v>
      </c>
      <c r="R1" s="3" t="s">
        <v>213</v>
      </c>
      <c r="S1" s="3" t="s">
        <v>239</v>
      </c>
    </row>
    <row r="2" spans="1:19" x14ac:dyDescent="0.3">
      <c r="A2" t="s">
        <v>5</v>
      </c>
      <c r="B2">
        <v>16.41</v>
      </c>
      <c r="C2" s="1">
        <v>5.6800000000000015</v>
      </c>
      <c r="D2" s="1">
        <v>23.060000000000002</v>
      </c>
      <c r="E2" s="1">
        <v>21.810000000000002</v>
      </c>
      <c r="F2" s="1">
        <v>25.75</v>
      </c>
      <c r="G2" s="9">
        <v>2.3226629474024062E-2</v>
      </c>
      <c r="H2" t="str">
        <f>VLOOKUP(A2,$O$2:$R$134,1,FALSE)</f>
        <v>A-9</v>
      </c>
      <c r="I2" t="str">
        <f>VLOOKUP(A2,$O$2:$R$134,2,FALSE)</f>
        <v>Caa</v>
      </c>
      <c r="J2">
        <f>VLOOKUP(A2,$O$2:$R$134,3,FALSE)</f>
        <v>0</v>
      </c>
      <c r="K2">
        <f>VLOOKUP(A2,$O$2:$R$134,4,FALSE)</f>
        <v>0</v>
      </c>
      <c r="L2" t="str">
        <f>VLOOKUP(A2,$O$2:$S$134,5,FALSE)</f>
        <v>ronald</v>
      </c>
      <c r="O2" s="6" t="s">
        <v>5</v>
      </c>
      <c r="P2" s="4" t="s">
        <v>75</v>
      </c>
      <c r="Q2" s="5">
        <v>0</v>
      </c>
      <c r="R2" s="5">
        <v>0</v>
      </c>
      <c r="S2" t="s">
        <v>237</v>
      </c>
    </row>
    <row r="3" spans="1:19" x14ac:dyDescent="0.3">
      <c r="A3" t="s">
        <v>6</v>
      </c>
      <c r="B3">
        <v>14.66</v>
      </c>
      <c r="C3" s="1">
        <v>3.4399999999999991</v>
      </c>
      <c r="D3" s="1">
        <v>14.3</v>
      </c>
      <c r="E3" s="1">
        <v>14.530000000000001</v>
      </c>
      <c r="F3" s="1">
        <v>44.759999999999991</v>
      </c>
      <c r="G3" s="9">
        <v>4.7316263878932355E-2</v>
      </c>
      <c r="H3" t="str">
        <f t="shared" ref="H3:H66" si="0">VLOOKUP(A3,$O$2:$R$134,1,FALSE)</f>
        <v>B-1</v>
      </c>
      <c r="I3" t="str">
        <f t="shared" ref="I3:I66" si="1">VLOOKUP(A3,$O$2:$R$134,2,FALSE)</f>
        <v>C. annuum var. annuum</v>
      </c>
      <c r="J3">
        <f t="shared" ref="J3:J66" si="2">VLOOKUP(A3,$O$2:$R$134,3,FALSE)</f>
        <v>7.6919899999999997</v>
      </c>
      <c r="K3" t="str">
        <f t="shared" ref="K3:K66" si="3">VLOOKUP(A3,$O$2:$R$134,4,FALSE)</f>
        <v>Sin datos</v>
      </c>
      <c r="L3" t="str">
        <f t="shared" ref="L3:L66" si="4">VLOOKUP(A3,$O$2:$S$134,5,FALSE)</f>
        <v>reina</v>
      </c>
      <c r="O3" s="6" t="s">
        <v>27</v>
      </c>
      <c r="P3" s="4" t="s">
        <v>75</v>
      </c>
      <c r="Q3" s="5">
        <v>0</v>
      </c>
      <c r="R3" s="1">
        <v>0</v>
      </c>
      <c r="S3" t="s">
        <v>237</v>
      </c>
    </row>
    <row r="4" spans="1:19" x14ac:dyDescent="0.3">
      <c r="A4" t="s">
        <v>7</v>
      </c>
      <c r="B4">
        <v>15.2</v>
      </c>
      <c r="C4" s="1">
        <v>2.68</v>
      </c>
      <c r="D4" s="1">
        <v>10.34</v>
      </c>
      <c r="E4" s="1">
        <v>10.76</v>
      </c>
      <c r="F4" s="1">
        <v>42.230000000000004</v>
      </c>
      <c r="G4" s="9">
        <v>3.6848631897203325E-2</v>
      </c>
      <c r="H4" t="str">
        <f t="shared" si="0"/>
        <v>B-2</v>
      </c>
      <c r="I4" t="str">
        <f t="shared" si="1"/>
        <v>C. annuum var. annuum</v>
      </c>
      <c r="J4">
        <f t="shared" si="2"/>
        <v>13234.74</v>
      </c>
      <c r="K4" t="str">
        <f t="shared" si="3"/>
        <v>Sin datos</v>
      </c>
      <c r="L4" t="str">
        <f t="shared" si="4"/>
        <v>reina</v>
      </c>
      <c r="O4" s="6" t="s">
        <v>34</v>
      </c>
      <c r="P4" s="4" t="s">
        <v>75</v>
      </c>
      <c r="Q4" s="5">
        <v>0</v>
      </c>
      <c r="R4" s="5">
        <v>0</v>
      </c>
      <c r="S4" t="s">
        <v>237</v>
      </c>
    </row>
    <row r="5" spans="1:19" x14ac:dyDescent="0.3">
      <c r="A5" t="s">
        <v>9</v>
      </c>
      <c r="B5">
        <v>17.98</v>
      </c>
      <c r="C5" s="1">
        <v>1.9000000000000004</v>
      </c>
      <c r="D5" s="1">
        <v>9.8699999999999992</v>
      </c>
      <c r="E5" s="1">
        <v>9.24</v>
      </c>
      <c r="F5" s="1">
        <v>37.059999999999995</v>
      </c>
      <c r="G5" s="9">
        <v>6.0266940077466399E-2</v>
      </c>
      <c r="H5" t="str">
        <f t="shared" si="0"/>
        <v>B-4</v>
      </c>
      <c r="I5" t="str">
        <f t="shared" si="1"/>
        <v>C. frutescens</v>
      </c>
      <c r="J5">
        <f t="shared" si="2"/>
        <v>2.1192699999999998</v>
      </c>
      <c r="K5" t="str">
        <f t="shared" si="3"/>
        <v>Sin datos</v>
      </c>
      <c r="L5" t="str">
        <f t="shared" si="4"/>
        <v>reina</v>
      </c>
      <c r="O5" s="6" t="s">
        <v>47</v>
      </c>
      <c r="P5" s="4" t="s">
        <v>75</v>
      </c>
      <c r="Q5" s="5">
        <v>0</v>
      </c>
      <c r="R5" s="5">
        <v>0</v>
      </c>
      <c r="S5" t="s">
        <v>237</v>
      </c>
    </row>
    <row r="6" spans="1:19" x14ac:dyDescent="0.3">
      <c r="A6" t="s">
        <v>10</v>
      </c>
      <c r="B6">
        <v>14.63</v>
      </c>
      <c r="C6" s="1">
        <v>5.9000000000000012</v>
      </c>
      <c r="D6" s="1">
        <v>20.2</v>
      </c>
      <c r="E6" s="1">
        <v>19.583333333333332</v>
      </c>
      <c r="F6" s="1">
        <v>55.5</v>
      </c>
      <c r="G6" s="9">
        <v>2.4354925273929452E-2</v>
      </c>
      <c r="H6" t="str">
        <f t="shared" si="0"/>
        <v>B-7</v>
      </c>
      <c r="I6" t="str">
        <f t="shared" si="1"/>
        <v>C. annuum var. annuum</v>
      </c>
      <c r="J6">
        <f t="shared" si="2"/>
        <v>5.8778700000000006</v>
      </c>
      <c r="K6" t="str">
        <f t="shared" si="3"/>
        <v>Sin datos</v>
      </c>
      <c r="L6" t="str">
        <f t="shared" si="4"/>
        <v>reina</v>
      </c>
      <c r="O6" s="6" t="s">
        <v>50</v>
      </c>
      <c r="P6" s="4" t="s">
        <v>75</v>
      </c>
      <c r="Q6" s="5">
        <v>0</v>
      </c>
      <c r="R6" s="5">
        <v>0</v>
      </c>
      <c r="S6" t="s">
        <v>237</v>
      </c>
    </row>
    <row r="7" spans="1:19" x14ac:dyDescent="0.3">
      <c r="A7" t="s">
        <v>116</v>
      </c>
      <c r="B7">
        <v>14.025</v>
      </c>
      <c r="C7" s="1">
        <v>0.5</v>
      </c>
      <c r="D7" s="1">
        <v>9</v>
      </c>
      <c r="E7" s="1">
        <v>9.5500000000000007</v>
      </c>
      <c r="F7" s="1">
        <v>12.9</v>
      </c>
      <c r="G7" s="9">
        <v>6.7799999999999999E-2</v>
      </c>
      <c r="H7" t="str">
        <f t="shared" si="0"/>
        <v>B-8</v>
      </c>
      <c r="I7" t="str">
        <f t="shared" si="1"/>
        <v>C. annuum var. annuum</v>
      </c>
      <c r="J7">
        <f t="shared" si="2"/>
        <v>18027.900000000001</v>
      </c>
      <c r="K7" t="str">
        <f t="shared" si="3"/>
        <v>Sin datos</v>
      </c>
      <c r="L7" t="str">
        <f t="shared" si="4"/>
        <v>reina</v>
      </c>
      <c r="O7" s="6" t="s">
        <v>145</v>
      </c>
      <c r="P7" s="4" t="s">
        <v>75</v>
      </c>
      <c r="Q7" s="5">
        <v>0</v>
      </c>
      <c r="R7" s="5">
        <v>0</v>
      </c>
      <c r="S7" t="s">
        <v>237</v>
      </c>
    </row>
    <row r="8" spans="1:19" x14ac:dyDescent="0.3">
      <c r="A8" t="s">
        <v>11</v>
      </c>
      <c r="B8">
        <v>15.27</v>
      </c>
      <c r="C8" s="1">
        <v>3.96</v>
      </c>
      <c r="D8" s="1">
        <v>14.52</v>
      </c>
      <c r="E8" s="1">
        <v>15.12</v>
      </c>
      <c r="F8" s="1">
        <v>51.220000000000006</v>
      </c>
      <c r="G8" s="9">
        <v>2.6077715770068711E-2</v>
      </c>
      <c r="H8" t="str">
        <f t="shared" si="0"/>
        <v>B-9B</v>
      </c>
      <c r="I8" t="str">
        <f t="shared" si="1"/>
        <v>C. annuum var. annuum</v>
      </c>
      <c r="J8">
        <f t="shared" si="2"/>
        <v>0.90206000000000008</v>
      </c>
      <c r="K8" t="str">
        <f t="shared" si="3"/>
        <v>Sin datos</v>
      </c>
      <c r="L8" t="str">
        <f t="shared" si="4"/>
        <v>reina</v>
      </c>
      <c r="O8" s="6" t="s">
        <v>54</v>
      </c>
      <c r="P8" s="4" t="s">
        <v>75</v>
      </c>
      <c r="Q8" s="5">
        <v>0</v>
      </c>
      <c r="R8" s="5">
        <v>0</v>
      </c>
      <c r="S8" t="s">
        <v>237</v>
      </c>
    </row>
    <row r="9" spans="1:19" x14ac:dyDescent="0.3">
      <c r="A9" t="s">
        <v>12</v>
      </c>
      <c r="B9">
        <v>17.850000000000001</v>
      </c>
      <c r="C9" s="1">
        <v>5.2666666666666666</v>
      </c>
      <c r="D9" s="1">
        <v>17.133333333333336</v>
      </c>
      <c r="E9" s="1">
        <v>15.9</v>
      </c>
      <c r="F9" s="1">
        <v>48.75</v>
      </c>
      <c r="G9" s="9">
        <v>4.8427083333333336E-2</v>
      </c>
      <c r="H9" t="str">
        <f t="shared" si="0"/>
        <v>B-10</v>
      </c>
      <c r="I9" t="str">
        <f t="shared" si="1"/>
        <v>C. annuum var. annuum</v>
      </c>
      <c r="J9">
        <f t="shared" si="2"/>
        <v>5.8153499999999996</v>
      </c>
      <c r="K9" t="str">
        <f t="shared" si="3"/>
        <v>Sin datos</v>
      </c>
      <c r="L9" t="str">
        <f t="shared" si="4"/>
        <v>reina</v>
      </c>
      <c r="O9" s="7" t="s">
        <v>110</v>
      </c>
      <c r="P9" s="4" t="s">
        <v>75</v>
      </c>
      <c r="Q9" s="1">
        <v>10.778194000000001</v>
      </c>
      <c r="R9" s="1">
        <v>0.65614165000000002</v>
      </c>
      <c r="S9" t="s">
        <v>237</v>
      </c>
    </row>
    <row r="10" spans="1:19" x14ac:dyDescent="0.3">
      <c r="A10" t="s">
        <v>13</v>
      </c>
      <c r="B10">
        <v>6.7</v>
      </c>
      <c r="C10" s="1">
        <v>4.8299999999999996E-2</v>
      </c>
      <c r="D10" s="1">
        <v>3.78</v>
      </c>
      <c r="E10" s="1">
        <v>3.7300000000000004</v>
      </c>
      <c r="F10" s="1">
        <v>6.2200000000000006</v>
      </c>
      <c r="G10" s="9">
        <v>0.18174923881606359</v>
      </c>
      <c r="H10" t="str">
        <f t="shared" si="0"/>
        <v>B-11</v>
      </c>
      <c r="I10" t="str">
        <f t="shared" si="1"/>
        <v>C. annuum var. glabriusculum</v>
      </c>
      <c r="J10">
        <f t="shared" si="2"/>
        <v>1.03389</v>
      </c>
      <c r="K10" t="str">
        <f t="shared" si="3"/>
        <v>Sin datos</v>
      </c>
      <c r="L10" t="str">
        <f t="shared" si="4"/>
        <v>reina</v>
      </c>
      <c r="O10" s="7" t="s">
        <v>21</v>
      </c>
      <c r="P10" s="4" t="s">
        <v>75</v>
      </c>
      <c r="Q10" s="1">
        <v>6.4383875000000002</v>
      </c>
      <c r="R10" s="1">
        <v>0.25856800000000002</v>
      </c>
      <c r="S10" t="s">
        <v>237</v>
      </c>
    </row>
    <row r="11" spans="1:19" x14ac:dyDescent="0.3">
      <c r="A11" t="s">
        <v>14</v>
      </c>
      <c r="B11">
        <v>15.48</v>
      </c>
      <c r="C11" s="1">
        <v>0.91999999999999993</v>
      </c>
      <c r="D11" s="1">
        <v>10.219999999999999</v>
      </c>
      <c r="E11" s="1">
        <v>10.36</v>
      </c>
      <c r="F11" s="1">
        <v>16.660000000000004</v>
      </c>
      <c r="G11" s="9">
        <v>0.11101115384615383</v>
      </c>
      <c r="H11" t="str">
        <f t="shared" si="0"/>
        <v>C-1</v>
      </c>
      <c r="I11" t="str">
        <f t="shared" si="1"/>
        <v>C. frutescens</v>
      </c>
      <c r="J11">
        <f t="shared" si="2"/>
        <v>4.5083599999999997</v>
      </c>
      <c r="K11" t="str">
        <f t="shared" si="3"/>
        <v>Sin datos</v>
      </c>
      <c r="L11" t="str">
        <f t="shared" si="4"/>
        <v>reina</v>
      </c>
      <c r="O11" s="7" t="s">
        <v>23</v>
      </c>
      <c r="P11" s="4" t="s">
        <v>75</v>
      </c>
      <c r="Q11" s="1">
        <v>0.96435349999999997</v>
      </c>
      <c r="R11" s="1">
        <v>0.18998129999999999</v>
      </c>
      <c r="S11" t="s">
        <v>237</v>
      </c>
    </row>
    <row r="12" spans="1:19" x14ac:dyDescent="0.3">
      <c r="A12" t="s">
        <v>15</v>
      </c>
      <c r="B12">
        <v>10.540000000000001</v>
      </c>
      <c r="C12" s="1">
        <v>0.11739999999999999</v>
      </c>
      <c r="D12" s="1">
        <v>5.09</v>
      </c>
      <c r="E12" s="1">
        <v>4.5600000000000005</v>
      </c>
      <c r="F12" s="1">
        <v>8.0400000000000009</v>
      </c>
      <c r="G12" s="9">
        <v>0.14470555114927899</v>
      </c>
      <c r="H12" t="str">
        <f t="shared" si="0"/>
        <v>C-2</v>
      </c>
      <c r="I12" t="str">
        <f t="shared" si="1"/>
        <v>C. annuum var. glabriusculum</v>
      </c>
      <c r="J12">
        <f t="shared" si="2"/>
        <v>6.7375599999999993</v>
      </c>
      <c r="K12" t="str">
        <f t="shared" si="3"/>
        <v>Sin datos</v>
      </c>
      <c r="L12" t="str">
        <f t="shared" si="4"/>
        <v>reina</v>
      </c>
      <c r="O12" s="7" t="s">
        <v>146</v>
      </c>
      <c r="P12" s="4" t="s">
        <v>130</v>
      </c>
      <c r="Q12" s="1">
        <v>0</v>
      </c>
      <c r="R12" s="1">
        <v>0</v>
      </c>
      <c r="S12" t="s">
        <v>237</v>
      </c>
    </row>
    <row r="13" spans="1:19" x14ac:dyDescent="0.3">
      <c r="A13" t="s">
        <v>20</v>
      </c>
      <c r="B13">
        <v>13.040000000000001</v>
      </c>
      <c r="C13" s="1">
        <v>1.9</v>
      </c>
      <c r="D13" s="1">
        <v>8.84</v>
      </c>
      <c r="E13" s="1">
        <v>9.09</v>
      </c>
      <c r="F13" s="1">
        <v>52.48</v>
      </c>
      <c r="G13" s="9">
        <v>4.5228674948240163E-2</v>
      </c>
      <c r="H13" t="str">
        <f t="shared" si="0"/>
        <v>C-alfa</v>
      </c>
      <c r="I13" t="str">
        <f t="shared" si="1"/>
        <v>C. annuum var. annuum</v>
      </c>
      <c r="J13">
        <f t="shared" si="2"/>
        <v>15957.18</v>
      </c>
      <c r="K13" t="str">
        <f t="shared" si="3"/>
        <v>Sin datos</v>
      </c>
      <c r="L13" t="str">
        <f t="shared" si="4"/>
        <v>reina</v>
      </c>
      <c r="O13" s="7" t="s">
        <v>32</v>
      </c>
      <c r="P13" s="4" t="s">
        <v>75</v>
      </c>
      <c r="Q13" s="1">
        <v>0</v>
      </c>
      <c r="R13" s="1">
        <v>0</v>
      </c>
      <c r="S13" t="s">
        <v>237</v>
      </c>
    </row>
    <row r="14" spans="1:19" x14ac:dyDescent="0.3">
      <c r="A14" t="s">
        <v>21</v>
      </c>
      <c r="B14">
        <v>14.49</v>
      </c>
      <c r="C14" s="1">
        <v>3.2800000000000002</v>
      </c>
      <c r="D14" s="1">
        <v>11.7</v>
      </c>
      <c r="E14" s="1">
        <v>13.63</v>
      </c>
      <c r="F14" s="1">
        <v>42.48</v>
      </c>
      <c r="G14" s="9">
        <v>3.641203565062389E-2</v>
      </c>
      <c r="H14" t="str">
        <f t="shared" si="0"/>
        <v>C-F</v>
      </c>
      <c r="I14" t="str">
        <f t="shared" si="1"/>
        <v>Caa</v>
      </c>
      <c r="J14">
        <f t="shared" si="2"/>
        <v>6.4383875000000002</v>
      </c>
      <c r="K14">
        <f t="shared" si="3"/>
        <v>0.25856800000000002</v>
      </c>
      <c r="L14" t="str">
        <f t="shared" si="4"/>
        <v>ronald</v>
      </c>
      <c r="O14" s="7" t="s">
        <v>37</v>
      </c>
      <c r="P14" s="4" t="s">
        <v>75</v>
      </c>
      <c r="Q14" s="1">
        <v>5.1215669999999998</v>
      </c>
      <c r="R14" s="1">
        <v>0.30763020000000002</v>
      </c>
      <c r="S14" t="s">
        <v>237</v>
      </c>
    </row>
    <row r="15" spans="1:19" x14ac:dyDescent="0.3">
      <c r="A15" t="s">
        <v>22</v>
      </c>
      <c r="B15">
        <v>13.419999999999998</v>
      </c>
      <c r="C15" s="1">
        <v>2.38</v>
      </c>
      <c r="D15" s="1">
        <v>15.820000000000002</v>
      </c>
      <c r="E15" s="1">
        <v>10.27</v>
      </c>
      <c r="F15" s="1">
        <v>38.58</v>
      </c>
      <c r="G15" s="9">
        <v>2.9453902357576972E-2</v>
      </c>
      <c r="H15" t="str">
        <f t="shared" si="0"/>
        <v>C-G</v>
      </c>
      <c r="I15" t="str">
        <f t="shared" si="1"/>
        <v>C. annuum var. annuum</v>
      </c>
      <c r="J15">
        <f t="shared" si="2"/>
        <v>10803.96</v>
      </c>
      <c r="K15" t="str">
        <f t="shared" si="3"/>
        <v>Sin datos</v>
      </c>
      <c r="L15" t="str">
        <f t="shared" si="4"/>
        <v>reina</v>
      </c>
      <c r="O15" s="7" t="s">
        <v>64</v>
      </c>
      <c r="P15" s="4" t="s">
        <v>75</v>
      </c>
      <c r="Q15" s="1">
        <v>7.6006124999999995</v>
      </c>
      <c r="R15" s="1">
        <v>0.34723335</v>
      </c>
      <c r="S15" t="s">
        <v>237</v>
      </c>
    </row>
    <row r="16" spans="1:19" x14ac:dyDescent="0.3">
      <c r="A16" t="s">
        <v>23</v>
      </c>
      <c r="B16">
        <v>15.709999999999999</v>
      </c>
      <c r="C16" s="1">
        <v>1.48</v>
      </c>
      <c r="D16" s="1">
        <v>10.930000000000001</v>
      </c>
      <c r="E16" s="1">
        <v>10.999999999999998</v>
      </c>
      <c r="F16" s="1">
        <v>25</v>
      </c>
      <c r="G16" s="9">
        <v>4.3264985994397757E-2</v>
      </c>
      <c r="H16" t="str">
        <f t="shared" si="0"/>
        <v>C-H</v>
      </c>
      <c r="I16" t="str">
        <f t="shared" si="1"/>
        <v>Caa</v>
      </c>
      <c r="J16">
        <f t="shared" si="2"/>
        <v>0.96435349999999997</v>
      </c>
      <c r="K16">
        <f t="shared" si="3"/>
        <v>0.18998129999999999</v>
      </c>
      <c r="L16" t="str">
        <f t="shared" si="4"/>
        <v>ronald</v>
      </c>
      <c r="O16" s="7" t="s">
        <v>71</v>
      </c>
      <c r="P16" s="4" t="s">
        <v>75</v>
      </c>
      <c r="Q16" s="1">
        <v>0</v>
      </c>
      <c r="R16" s="1">
        <v>0</v>
      </c>
      <c r="S16" t="s">
        <v>237</v>
      </c>
    </row>
    <row r="17" spans="1:19" x14ac:dyDescent="0.3">
      <c r="A17" t="s">
        <v>24</v>
      </c>
      <c r="B17">
        <v>14.920000000000002</v>
      </c>
      <c r="C17" s="1">
        <v>1.0399999999999998</v>
      </c>
      <c r="D17" s="1">
        <v>13.99</v>
      </c>
      <c r="E17" s="1">
        <v>12.9</v>
      </c>
      <c r="F17" s="1">
        <v>20.28</v>
      </c>
      <c r="G17" s="9">
        <v>5.5948282828282826E-2</v>
      </c>
      <c r="H17" t="str">
        <f t="shared" si="0"/>
        <v>C-J</v>
      </c>
      <c r="I17" t="str">
        <f t="shared" si="1"/>
        <v>C. annuum var. annuum</v>
      </c>
      <c r="J17">
        <f t="shared" si="2"/>
        <v>3.3137500000000002</v>
      </c>
      <c r="K17" t="str">
        <f t="shared" si="3"/>
        <v>Sin datos</v>
      </c>
      <c r="L17" t="str">
        <f t="shared" si="4"/>
        <v>reina</v>
      </c>
      <c r="O17" s="7" t="s">
        <v>117</v>
      </c>
      <c r="P17" s="4" t="s">
        <v>135</v>
      </c>
      <c r="Q17" s="1">
        <v>0.14645949999999999</v>
      </c>
      <c r="R17" s="1">
        <v>0.28881309999999999</v>
      </c>
      <c r="S17" t="s">
        <v>237</v>
      </c>
    </row>
    <row r="18" spans="1:19" x14ac:dyDescent="0.3">
      <c r="A18" t="s">
        <v>25</v>
      </c>
      <c r="B18">
        <v>12.86</v>
      </c>
      <c r="C18" s="1">
        <v>0.86</v>
      </c>
      <c r="D18" s="1">
        <v>8.82</v>
      </c>
      <c r="E18" s="1">
        <v>9.0599999999999987</v>
      </c>
      <c r="F18" s="1">
        <v>19.880000000000003</v>
      </c>
      <c r="G18" s="9">
        <v>6.3650000000000012E-2</v>
      </c>
      <c r="H18" t="str">
        <f t="shared" si="0"/>
        <v>C-K</v>
      </c>
      <c r="I18" t="str">
        <f t="shared" si="1"/>
        <v>C. annuum var. annuum</v>
      </c>
      <c r="J18">
        <f t="shared" si="2"/>
        <v>3.5115699999999999</v>
      </c>
      <c r="K18" t="str">
        <f t="shared" si="3"/>
        <v>Sin datos</v>
      </c>
      <c r="L18" t="str">
        <f t="shared" si="4"/>
        <v>reina</v>
      </c>
      <c r="O18" s="7" t="s">
        <v>106</v>
      </c>
      <c r="P18" s="4" t="s">
        <v>75</v>
      </c>
      <c r="Q18" s="1">
        <v>20.158569</v>
      </c>
      <c r="R18" s="1">
        <v>0.71086130000000003</v>
      </c>
      <c r="S18" t="s">
        <v>237</v>
      </c>
    </row>
    <row r="19" spans="1:19" x14ac:dyDescent="0.3">
      <c r="A19" t="s">
        <v>26</v>
      </c>
      <c r="B19">
        <v>15.960000000000003</v>
      </c>
      <c r="C19" s="1">
        <v>7.6000000000000005</v>
      </c>
      <c r="D19" s="1">
        <v>25.883333333333336</v>
      </c>
      <c r="E19" s="1">
        <v>25.399999999999995</v>
      </c>
      <c r="F19" s="1">
        <v>48.866666666666667</v>
      </c>
      <c r="G19" s="9">
        <v>1.4054380929044005E-2</v>
      </c>
      <c r="H19" t="str">
        <f t="shared" si="0"/>
        <v>D-2</v>
      </c>
      <c r="I19" t="str">
        <f t="shared" si="1"/>
        <v>C. annuum var. annuum</v>
      </c>
      <c r="J19">
        <f t="shared" si="2"/>
        <v>0.01</v>
      </c>
      <c r="K19" t="str">
        <f t="shared" si="3"/>
        <v>Sin datos</v>
      </c>
      <c r="L19" t="str">
        <f t="shared" si="4"/>
        <v>reina</v>
      </c>
      <c r="O19" s="7" t="s">
        <v>118</v>
      </c>
      <c r="P19" s="4" t="s">
        <v>138</v>
      </c>
      <c r="Q19" s="1">
        <v>0.34676749999999995</v>
      </c>
      <c r="R19" s="1">
        <v>0.17233345</v>
      </c>
      <c r="S19" t="s">
        <v>237</v>
      </c>
    </row>
    <row r="20" spans="1:19" x14ac:dyDescent="0.3">
      <c r="A20" t="s">
        <v>27</v>
      </c>
      <c r="B20">
        <v>15.689999999999998</v>
      </c>
      <c r="C20" s="1">
        <v>3.8</v>
      </c>
      <c r="D20" s="1">
        <v>19.09</v>
      </c>
      <c r="E20" s="1">
        <v>18.399999999999999</v>
      </c>
      <c r="F20" s="1">
        <v>41.92</v>
      </c>
      <c r="G20" s="9">
        <v>3.0719202597950229E-2</v>
      </c>
      <c r="H20" t="str">
        <f t="shared" si="0"/>
        <v>D-3</v>
      </c>
      <c r="I20" t="str">
        <f t="shared" si="1"/>
        <v>Caa</v>
      </c>
      <c r="J20">
        <f t="shared" si="2"/>
        <v>0</v>
      </c>
      <c r="K20">
        <f t="shared" si="3"/>
        <v>0</v>
      </c>
      <c r="L20" t="str">
        <f t="shared" si="4"/>
        <v>ronald</v>
      </c>
      <c r="O20" s="7" t="s">
        <v>95</v>
      </c>
      <c r="P20" s="4" t="s">
        <v>135</v>
      </c>
      <c r="Q20" s="1">
        <v>1.492192</v>
      </c>
      <c r="R20" s="1">
        <v>0.40039130000000001</v>
      </c>
      <c r="S20" t="s">
        <v>237</v>
      </c>
    </row>
    <row r="21" spans="1:19" x14ac:dyDescent="0.3">
      <c r="A21" t="s">
        <v>28</v>
      </c>
      <c r="B21">
        <v>16.04</v>
      </c>
      <c r="C21" s="1">
        <v>0.74</v>
      </c>
      <c r="D21" s="1">
        <v>7.2799999999999994</v>
      </c>
      <c r="E21" s="1">
        <v>7</v>
      </c>
      <c r="F21" s="1">
        <v>25.919999999999998</v>
      </c>
      <c r="G21" s="9">
        <v>8.581309523809523E-2</v>
      </c>
      <c r="H21" t="str">
        <f t="shared" si="0"/>
        <v>D-4</v>
      </c>
      <c r="I21" t="str">
        <f t="shared" si="1"/>
        <v>C. frutescens</v>
      </c>
      <c r="J21">
        <f t="shared" si="2"/>
        <v>5.6006399999999994</v>
      </c>
      <c r="K21" t="str">
        <f t="shared" si="3"/>
        <v>Sin datos</v>
      </c>
      <c r="L21" t="str">
        <f t="shared" si="4"/>
        <v>reina</v>
      </c>
      <c r="O21" s="7" t="s">
        <v>102</v>
      </c>
      <c r="P21" s="4" t="s">
        <v>135</v>
      </c>
      <c r="Q21" s="1">
        <v>0.62875700000000001</v>
      </c>
      <c r="R21" s="1">
        <v>0.32906004999999999</v>
      </c>
      <c r="S21" t="s">
        <v>237</v>
      </c>
    </row>
    <row r="22" spans="1:19" x14ac:dyDescent="0.3">
      <c r="A22" t="s">
        <v>29</v>
      </c>
      <c r="B22">
        <v>10.690000000000001</v>
      </c>
      <c r="C22" s="1">
        <v>0.16404000000000002</v>
      </c>
      <c r="D22" s="1">
        <v>5.54</v>
      </c>
      <c r="E22" s="1">
        <v>5.49</v>
      </c>
      <c r="F22" s="1">
        <v>9.1799999999999979</v>
      </c>
      <c r="G22" s="9">
        <v>0.20966811761805956</v>
      </c>
      <c r="H22" t="str">
        <f t="shared" si="0"/>
        <v>D-5</v>
      </c>
      <c r="I22" t="str">
        <f t="shared" si="1"/>
        <v>C. annuum var. glabriusculum</v>
      </c>
      <c r="J22">
        <f t="shared" si="2"/>
        <v>1.53233</v>
      </c>
      <c r="K22" t="str">
        <f t="shared" si="3"/>
        <v>Sin datos</v>
      </c>
      <c r="L22" t="str">
        <f t="shared" si="4"/>
        <v>reina</v>
      </c>
      <c r="O22" s="7" t="s">
        <v>103</v>
      </c>
      <c r="P22" s="4" t="s">
        <v>77</v>
      </c>
      <c r="Q22" s="1">
        <v>1.390922</v>
      </c>
      <c r="R22" s="1">
        <v>0.19629274999999999</v>
      </c>
      <c r="S22" t="s">
        <v>237</v>
      </c>
    </row>
    <row r="23" spans="1:19" x14ac:dyDescent="0.3">
      <c r="A23" t="s">
        <v>30</v>
      </c>
      <c r="B23">
        <v>8.89</v>
      </c>
      <c r="C23" s="1">
        <v>0.15496000000000001</v>
      </c>
      <c r="D23" s="1">
        <v>5.5900000000000007</v>
      </c>
      <c r="E23" s="1">
        <v>5.5299999999999994</v>
      </c>
      <c r="F23" s="1">
        <v>8.7700000000000014</v>
      </c>
      <c r="G23" s="9">
        <v>0.19562132896389356</v>
      </c>
      <c r="H23" t="str">
        <f t="shared" si="0"/>
        <v>D-6</v>
      </c>
      <c r="I23" t="str">
        <f t="shared" si="1"/>
        <v>C. annuum var. glabriusculum</v>
      </c>
      <c r="J23">
        <f t="shared" si="2"/>
        <v>1.8546100000000001</v>
      </c>
      <c r="K23" t="str">
        <f t="shared" si="3"/>
        <v>Sin datos</v>
      </c>
      <c r="L23" t="str">
        <f t="shared" si="4"/>
        <v>reina</v>
      </c>
      <c r="O23" s="7" t="s">
        <v>114</v>
      </c>
      <c r="P23" s="4" t="s">
        <v>135</v>
      </c>
      <c r="Q23" s="1">
        <v>0.54737599999999997</v>
      </c>
      <c r="R23" s="1">
        <v>0.17785365</v>
      </c>
      <c r="S23" t="s">
        <v>237</v>
      </c>
    </row>
    <row r="24" spans="1:19" x14ac:dyDescent="0.3">
      <c r="A24" t="s">
        <v>31</v>
      </c>
      <c r="B24">
        <v>16.61</v>
      </c>
      <c r="C24" s="1">
        <v>0.57999999999999996</v>
      </c>
      <c r="D24" s="1">
        <v>7.6099999999999994</v>
      </c>
      <c r="E24" s="1">
        <v>7.3400000000000007</v>
      </c>
      <c r="F24" s="1">
        <v>23.1</v>
      </c>
      <c r="G24" s="9">
        <v>5.6816666666666661E-2</v>
      </c>
      <c r="H24" t="str">
        <f t="shared" si="0"/>
        <v>D-7</v>
      </c>
      <c r="I24" t="str">
        <f t="shared" si="1"/>
        <v>C. frutescens</v>
      </c>
      <c r="J24">
        <f t="shared" si="2"/>
        <v>13371.26</v>
      </c>
      <c r="K24" t="str">
        <f t="shared" si="3"/>
        <v>Sin datos</v>
      </c>
      <c r="L24" t="str">
        <f t="shared" si="4"/>
        <v>reina</v>
      </c>
      <c r="O24" s="7" t="s">
        <v>147</v>
      </c>
      <c r="P24" s="4" t="s">
        <v>75</v>
      </c>
      <c r="Q24" s="1">
        <v>8.3321744999999989</v>
      </c>
      <c r="R24" s="1">
        <v>0.30305120000000002</v>
      </c>
      <c r="S24" t="s">
        <v>237</v>
      </c>
    </row>
    <row r="25" spans="1:19" x14ac:dyDescent="0.3">
      <c r="A25" t="s">
        <v>32</v>
      </c>
      <c r="B25">
        <v>15.720000000000002</v>
      </c>
      <c r="C25" s="1">
        <v>8.1</v>
      </c>
      <c r="D25" s="1">
        <v>29.765000000000001</v>
      </c>
      <c r="E25" s="1">
        <v>29.6</v>
      </c>
      <c r="F25" s="1">
        <v>36.125</v>
      </c>
      <c r="G25" s="9">
        <v>1.5676388888888889E-2</v>
      </c>
      <c r="H25" t="str">
        <f t="shared" si="0"/>
        <v>D-8</v>
      </c>
      <c r="I25" t="str">
        <f t="shared" si="1"/>
        <v>Caa</v>
      </c>
      <c r="J25">
        <f t="shared" si="2"/>
        <v>0</v>
      </c>
      <c r="K25">
        <f t="shared" si="3"/>
        <v>0</v>
      </c>
      <c r="L25" t="str">
        <f t="shared" si="4"/>
        <v>ronald</v>
      </c>
      <c r="O25" s="7" t="s">
        <v>148</v>
      </c>
      <c r="P25" s="4" t="s">
        <v>135</v>
      </c>
      <c r="Q25" s="1">
        <v>0.7963865</v>
      </c>
      <c r="R25" s="1">
        <v>0.22814490000000001</v>
      </c>
      <c r="S25" t="s">
        <v>237</v>
      </c>
    </row>
    <row r="26" spans="1:19" x14ac:dyDescent="0.3">
      <c r="A26" t="s">
        <v>33</v>
      </c>
      <c r="B26">
        <v>16.760000000000002</v>
      </c>
      <c r="C26" s="1">
        <v>4.26</v>
      </c>
      <c r="D26" s="1">
        <v>13.460000000000003</v>
      </c>
      <c r="E26" s="1">
        <v>13.1</v>
      </c>
      <c r="F26" s="1">
        <v>49.660000000000004</v>
      </c>
      <c r="G26" s="9">
        <v>3.1929323071234209E-2</v>
      </c>
      <c r="H26" t="str">
        <f t="shared" si="0"/>
        <v>D-9</v>
      </c>
      <c r="I26" t="str">
        <f t="shared" si="1"/>
        <v>C. annuum var. annuum</v>
      </c>
      <c r="J26">
        <f t="shared" si="2"/>
        <v>5.7930100000000007</v>
      </c>
      <c r="K26" t="str">
        <f t="shared" si="3"/>
        <v>Sin datos</v>
      </c>
      <c r="L26" t="str">
        <f t="shared" si="4"/>
        <v>reina</v>
      </c>
      <c r="O26" s="7" t="s">
        <v>105</v>
      </c>
      <c r="P26" s="4" t="s">
        <v>138</v>
      </c>
      <c r="Q26" s="1">
        <v>0.129996</v>
      </c>
      <c r="R26" s="1">
        <v>0.16302405</v>
      </c>
      <c r="S26" t="s">
        <v>237</v>
      </c>
    </row>
    <row r="27" spans="1:19" x14ac:dyDescent="0.3">
      <c r="A27" t="s">
        <v>34</v>
      </c>
      <c r="B27">
        <v>16.45</v>
      </c>
      <c r="C27" s="1">
        <v>7.2799999999999994</v>
      </c>
      <c r="D27" s="1">
        <v>24.75</v>
      </c>
      <c r="E27" s="1">
        <v>20.859999999999996</v>
      </c>
      <c r="F27" s="1">
        <v>50.7</v>
      </c>
      <c r="G27" s="9">
        <v>2.8467574786324789E-2</v>
      </c>
      <c r="H27" t="str">
        <f t="shared" si="0"/>
        <v>D-10</v>
      </c>
      <c r="I27" t="str">
        <f t="shared" si="1"/>
        <v>Caa</v>
      </c>
      <c r="J27">
        <f t="shared" si="2"/>
        <v>0</v>
      </c>
      <c r="K27">
        <f t="shared" si="3"/>
        <v>0</v>
      </c>
      <c r="L27" t="str">
        <f t="shared" si="4"/>
        <v>ronald</v>
      </c>
      <c r="O27" s="7" t="s">
        <v>149</v>
      </c>
      <c r="P27" s="4" t="s">
        <v>75</v>
      </c>
      <c r="Q27" s="1">
        <v>13.3260595</v>
      </c>
      <c r="R27" s="1">
        <v>0.45108535</v>
      </c>
      <c r="S27" t="s">
        <v>237</v>
      </c>
    </row>
    <row r="28" spans="1:19" x14ac:dyDescent="0.3">
      <c r="A28" t="s">
        <v>35</v>
      </c>
      <c r="B28">
        <v>16.47</v>
      </c>
      <c r="C28" s="1">
        <v>3.7</v>
      </c>
      <c r="D28" s="1">
        <v>12.540000000000001</v>
      </c>
      <c r="E28" s="1">
        <v>11.17</v>
      </c>
      <c r="F28" s="1">
        <v>49.97</v>
      </c>
      <c r="G28" s="9">
        <v>1.7224320735444332E-2</v>
      </c>
      <c r="H28" t="str">
        <f t="shared" si="0"/>
        <v>D-11</v>
      </c>
      <c r="I28" t="str">
        <f t="shared" si="1"/>
        <v>C. annuum var. annuum</v>
      </c>
      <c r="J28">
        <f t="shared" si="2"/>
        <v>7.8775599999999999</v>
      </c>
      <c r="K28" t="str">
        <f t="shared" si="3"/>
        <v>Sin datos</v>
      </c>
      <c r="L28" t="str">
        <f t="shared" si="4"/>
        <v>reina</v>
      </c>
      <c r="O28" s="7" t="s">
        <v>150</v>
      </c>
      <c r="P28" s="4" t="s">
        <v>75</v>
      </c>
      <c r="Q28" s="1">
        <v>5.7723864999999996</v>
      </c>
      <c r="R28" s="1">
        <v>0.25175724999999999</v>
      </c>
      <c r="S28" t="s">
        <v>237</v>
      </c>
    </row>
    <row r="29" spans="1:19" x14ac:dyDescent="0.3">
      <c r="A29" t="s">
        <v>36</v>
      </c>
      <c r="B29">
        <v>15.7</v>
      </c>
      <c r="C29" s="1">
        <v>0.44768000000000008</v>
      </c>
      <c r="D29" s="1">
        <v>6.7299999999999995</v>
      </c>
      <c r="E29" s="1">
        <v>6.85</v>
      </c>
      <c r="F29" s="1">
        <v>19.05</v>
      </c>
      <c r="G29" s="9">
        <v>5.9872449141444885E-2</v>
      </c>
      <c r="H29" t="str">
        <f t="shared" si="0"/>
        <v>D-12</v>
      </c>
      <c r="I29" t="str">
        <f t="shared" si="1"/>
        <v>C. frutescens</v>
      </c>
      <c r="J29">
        <f t="shared" si="2"/>
        <v>20050.310000000001</v>
      </c>
      <c r="K29" t="str">
        <f t="shared" si="3"/>
        <v>Sin datos</v>
      </c>
      <c r="L29" t="str">
        <f t="shared" si="4"/>
        <v>reina</v>
      </c>
      <c r="O29" s="7" t="s">
        <v>151</v>
      </c>
      <c r="P29" s="4" t="s">
        <v>135</v>
      </c>
      <c r="Q29" s="1">
        <v>0.56286749999999997</v>
      </c>
      <c r="R29" s="1">
        <v>0.36643409999999998</v>
      </c>
      <c r="S29" t="s">
        <v>237</v>
      </c>
    </row>
    <row r="30" spans="1:19" x14ac:dyDescent="0.3">
      <c r="A30" t="s">
        <v>37</v>
      </c>
      <c r="B30">
        <v>15.98</v>
      </c>
      <c r="C30" s="1">
        <v>3.5200000000000005</v>
      </c>
      <c r="D30" s="1">
        <v>15.1</v>
      </c>
      <c r="E30" s="1">
        <v>12.620000000000001</v>
      </c>
      <c r="F30" s="1">
        <v>47.69</v>
      </c>
      <c r="G30" s="9">
        <v>4.4585457662492549E-2</v>
      </c>
      <c r="H30" t="str">
        <f t="shared" si="0"/>
        <v>D-13</v>
      </c>
      <c r="I30" t="str">
        <f t="shared" si="1"/>
        <v>Caa</v>
      </c>
      <c r="J30">
        <f t="shared" si="2"/>
        <v>5.1215669999999998</v>
      </c>
      <c r="K30">
        <f t="shared" si="3"/>
        <v>0.30763020000000002</v>
      </c>
      <c r="L30" t="str">
        <f t="shared" si="4"/>
        <v>ronald</v>
      </c>
      <c r="O30" s="7" t="s">
        <v>152</v>
      </c>
      <c r="P30" s="4" t="s">
        <v>75</v>
      </c>
      <c r="Q30" s="1">
        <v>2.5361244999999997</v>
      </c>
      <c r="R30" s="1">
        <v>0.50310469999999996</v>
      </c>
      <c r="S30" t="s">
        <v>237</v>
      </c>
    </row>
    <row r="31" spans="1:19" x14ac:dyDescent="0.3">
      <c r="A31" t="s">
        <v>38</v>
      </c>
      <c r="B31">
        <v>8.85</v>
      </c>
      <c r="C31" s="1">
        <v>0.12855999999999998</v>
      </c>
      <c r="D31" s="1">
        <v>5.1099999999999994</v>
      </c>
      <c r="E31" s="1">
        <v>4.8499999999999996</v>
      </c>
      <c r="F31" s="1">
        <v>7.83</v>
      </c>
      <c r="G31" s="9">
        <v>0.21197049542985541</v>
      </c>
      <c r="H31" t="str">
        <f t="shared" si="0"/>
        <v>D-14</v>
      </c>
      <c r="I31" t="str">
        <f t="shared" si="1"/>
        <v>C. annuum var. glabriusculum</v>
      </c>
      <c r="J31">
        <f t="shared" si="2"/>
        <v>3.1558499999999996</v>
      </c>
      <c r="K31" t="str">
        <f t="shared" si="3"/>
        <v>Sin datos</v>
      </c>
      <c r="L31" t="str">
        <f t="shared" si="4"/>
        <v>reina</v>
      </c>
      <c r="O31" s="7" t="s">
        <v>92</v>
      </c>
      <c r="P31" s="4" t="s">
        <v>76</v>
      </c>
      <c r="Q31" s="1">
        <v>0.93883899999999998</v>
      </c>
      <c r="R31" s="1">
        <v>0.16847685000000001</v>
      </c>
      <c r="S31" t="s">
        <v>237</v>
      </c>
    </row>
    <row r="32" spans="1:19" x14ac:dyDescent="0.3">
      <c r="A32" t="s">
        <v>39</v>
      </c>
      <c r="B32">
        <v>8.7199999999999989</v>
      </c>
      <c r="C32" s="1">
        <v>0.11612</v>
      </c>
      <c r="D32" s="1">
        <v>5.2700000000000005</v>
      </c>
      <c r="E32" s="1">
        <v>5.2700000000000005</v>
      </c>
      <c r="F32" s="1">
        <v>7.51</v>
      </c>
      <c r="G32" s="9" t="e">
        <v>#N/A</v>
      </c>
      <c r="H32" t="s">
        <v>236</v>
      </c>
      <c r="I32" t="e">
        <f t="shared" si="1"/>
        <v>#N/A</v>
      </c>
      <c r="J32" t="e">
        <f t="shared" si="2"/>
        <v>#N/A</v>
      </c>
      <c r="K32" t="e">
        <f t="shared" si="3"/>
        <v>#N/A</v>
      </c>
      <c r="L32" t="e">
        <f t="shared" si="4"/>
        <v>#N/A</v>
      </c>
      <c r="O32" s="7" t="s">
        <v>107</v>
      </c>
      <c r="P32" s="4" t="s">
        <v>75</v>
      </c>
      <c r="Q32" s="1">
        <v>8.5407409999999988</v>
      </c>
      <c r="R32" s="1">
        <v>0.41770930000000001</v>
      </c>
      <c r="S32" t="s">
        <v>237</v>
      </c>
    </row>
    <row r="33" spans="1:19" x14ac:dyDescent="0.3">
      <c r="A33" t="s">
        <v>40</v>
      </c>
      <c r="B33">
        <v>10.16</v>
      </c>
      <c r="C33" s="1">
        <v>9.6739999999999993E-2</v>
      </c>
      <c r="D33" s="1">
        <v>4.4799999999999995</v>
      </c>
      <c r="E33" s="1">
        <v>4.3599999999999994</v>
      </c>
      <c r="F33" s="1">
        <v>8.75</v>
      </c>
      <c r="G33" s="9">
        <v>0.20027289605315807</v>
      </c>
      <c r="H33" t="str">
        <f t="shared" si="0"/>
        <v>D-beta</v>
      </c>
      <c r="I33" t="str">
        <f t="shared" si="1"/>
        <v>C. annuum var. glabriusculum</v>
      </c>
      <c r="J33">
        <f t="shared" si="2"/>
        <v>4.7010700000000005</v>
      </c>
      <c r="K33" t="str">
        <f t="shared" si="3"/>
        <v>Sin datos</v>
      </c>
      <c r="L33" t="str">
        <f t="shared" si="4"/>
        <v>reina</v>
      </c>
      <c r="O33" s="7" t="s">
        <v>99</v>
      </c>
      <c r="P33" s="4" t="s">
        <v>138</v>
      </c>
      <c r="Q33" s="1">
        <v>1.295194</v>
      </c>
      <c r="R33" s="1">
        <v>0.22387024999999999</v>
      </c>
      <c r="S33" t="s">
        <v>237</v>
      </c>
    </row>
    <row r="34" spans="1:19" x14ac:dyDescent="0.3">
      <c r="A34" t="s">
        <v>42</v>
      </c>
      <c r="B34">
        <v>16.059999999999999</v>
      </c>
      <c r="C34" s="1">
        <v>5.76</v>
      </c>
      <c r="D34" s="1">
        <v>25.8</v>
      </c>
      <c r="E34" s="1">
        <v>23.72</v>
      </c>
      <c r="F34" s="1">
        <v>30.586000000000002</v>
      </c>
      <c r="G34" s="9">
        <v>1.8997672328328614E-2</v>
      </c>
      <c r="H34" t="s">
        <v>236</v>
      </c>
      <c r="I34" t="e">
        <f t="shared" si="1"/>
        <v>#N/A</v>
      </c>
      <c r="J34" t="e">
        <f t="shared" si="2"/>
        <v>#N/A</v>
      </c>
      <c r="K34" t="e">
        <f t="shared" si="3"/>
        <v>#N/A</v>
      </c>
      <c r="L34" t="e">
        <f t="shared" si="4"/>
        <v>#N/A</v>
      </c>
      <c r="O34" s="7" t="s">
        <v>101</v>
      </c>
      <c r="P34" s="4" t="s">
        <v>77</v>
      </c>
      <c r="Q34" s="1">
        <v>3.4279454999999994</v>
      </c>
      <c r="R34" s="1">
        <v>0.24373405000000001</v>
      </c>
      <c r="S34" t="s">
        <v>237</v>
      </c>
    </row>
    <row r="35" spans="1:19" x14ac:dyDescent="0.3">
      <c r="A35" t="s">
        <v>43</v>
      </c>
      <c r="B35">
        <v>24.54</v>
      </c>
      <c r="C35" s="1">
        <v>19.2</v>
      </c>
      <c r="D35" s="1">
        <v>27.65</v>
      </c>
      <c r="E35" s="1">
        <v>26.6</v>
      </c>
      <c r="F35" s="1">
        <v>50.8</v>
      </c>
      <c r="G35" s="9">
        <v>1.1375000000000001E-2</v>
      </c>
      <c r="H35" t="s">
        <v>236</v>
      </c>
      <c r="I35" t="e">
        <f t="shared" si="1"/>
        <v>#N/A</v>
      </c>
      <c r="J35" t="e">
        <f t="shared" si="2"/>
        <v>#N/A</v>
      </c>
      <c r="K35" t="e">
        <f t="shared" si="3"/>
        <v>#N/A</v>
      </c>
      <c r="L35" t="e">
        <f t="shared" si="4"/>
        <v>#N/A</v>
      </c>
      <c r="O35" s="7" t="s">
        <v>111</v>
      </c>
      <c r="P35" s="4" t="s">
        <v>135</v>
      </c>
      <c r="Q35" s="1">
        <v>0.75525549999999997</v>
      </c>
      <c r="R35" s="1">
        <v>0.27096874999999998</v>
      </c>
      <c r="S35" t="s">
        <v>237</v>
      </c>
    </row>
    <row r="36" spans="1:19" x14ac:dyDescent="0.3">
      <c r="A36" t="s">
        <v>44</v>
      </c>
      <c r="B36">
        <v>19.060000000000002</v>
      </c>
      <c r="C36" s="1">
        <v>7.919999999999999</v>
      </c>
      <c r="D36" s="1">
        <v>15.419999999999998</v>
      </c>
      <c r="E36" s="1">
        <v>15.63</v>
      </c>
      <c r="F36" s="1">
        <v>61.030000000000008</v>
      </c>
      <c r="G36" s="9" t="e">
        <v>#N/A</v>
      </c>
      <c r="H36" t="s">
        <v>236</v>
      </c>
      <c r="I36" t="e">
        <f t="shared" si="1"/>
        <v>#N/A</v>
      </c>
      <c r="J36" t="e">
        <f t="shared" si="2"/>
        <v>#N/A</v>
      </c>
      <c r="K36" t="e">
        <f t="shared" si="3"/>
        <v>#N/A</v>
      </c>
      <c r="L36" t="e">
        <f t="shared" si="4"/>
        <v>#N/A</v>
      </c>
      <c r="O36" s="7" t="s">
        <v>153</v>
      </c>
      <c r="P36" s="4" t="s">
        <v>75</v>
      </c>
      <c r="Q36" s="1">
        <v>2.5713094999999999</v>
      </c>
      <c r="R36" s="1">
        <v>0.20951880000000001</v>
      </c>
      <c r="S36" t="s">
        <v>237</v>
      </c>
    </row>
    <row r="37" spans="1:19" x14ac:dyDescent="0.3">
      <c r="A37" t="s">
        <v>45</v>
      </c>
      <c r="B37">
        <v>20.399999999999999</v>
      </c>
      <c r="C37" s="1">
        <v>3.8499999999999996</v>
      </c>
      <c r="D37" s="1">
        <v>17.549999999999997</v>
      </c>
      <c r="E37" s="1">
        <v>17.2</v>
      </c>
      <c r="F37" s="1">
        <v>28.924999999999997</v>
      </c>
      <c r="G37" s="9" t="e">
        <v>#N/A</v>
      </c>
      <c r="H37" t="s">
        <v>236</v>
      </c>
      <c r="I37" t="e">
        <f t="shared" si="1"/>
        <v>#N/A</v>
      </c>
      <c r="J37" t="e">
        <f t="shared" si="2"/>
        <v>#N/A</v>
      </c>
      <c r="K37" t="e">
        <f t="shared" si="3"/>
        <v>#N/A</v>
      </c>
      <c r="L37" t="e">
        <f t="shared" si="4"/>
        <v>#N/A</v>
      </c>
      <c r="O37" s="7" t="s">
        <v>154</v>
      </c>
      <c r="P37" s="4" t="s">
        <v>75</v>
      </c>
      <c r="Q37" s="1">
        <v>6.3425744999999996</v>
      </c>
      <c r="R37" s="1">
        <v>0.39887539999999999</v>
      </c>
      <c r="S37" t="s">
        <v>237</v>
      </c>
    </row>
    <row r="38" spans="1:19" x14ac:dyDescent="0.3">
      <c r="A38" t="s">
        <v>46</v>
      </c>
      <c r="B38">
        <v>27.54</v>
      </c>
      <c r="C38" s="1">
        <v>61.55</v>
      </c>
      <c r="D38" s="1">
        <v>50.4</v>
      </c>
      <c r="E38" s="1">
        <v>51.25</v>
      </c>
      <c r="F38" s="1">
        <v>66.25</v>
      </c>
      <c r="G38" s="9" t="e">
        <v>#N/A</v>
      </c>
      <c r="H38" t="s">
        <v>236</v>
      </c>
      <c r="I38" t="e">
        <f t="shared" si="1"/>
        <v>#N/A</v>
      </c>
      <c r="J38" t="e">
        <f t="shared" si="2"/>
        <v>#N/A</v>
      </c>
      <c r="K38" t="e">
        <f t="shared" si="3"/>
        <v>#N/A</v>
      </c>
      <c r="L38" t="e">
        <f t="shared" si="4"/>
        <v>#N/A</v>
      </c>
      <c r="O38" s="7" t="s">
        <v>155</v>
      </c>
      <c r="P38" s="4" t="s">
        <v>75</v>
      </c>
      <c r="Q38" s="1">
        <v>11.9021945</v>
      </c>
      <c r="R38" s="1">
        <v>0.53247160000000004</v>
      </c>
      <c r="S38" t="s">
        <v>237</v>
      </c>
    </row>
    <row r="39" spans="1:19" x14ac:dyDescent="0.3">
      <c r="A39" t="s">
        <v>47</v>
      </c>
      <c r="B39">
        <v>14.35</v>
      </c>
      <c r="C39" s="1">
        <v>7.3599999999999994</v>
      </c>
      <c r="D39" s="1">
        <v>21.339999999999996</v>
      </c>
      <c r="E39" s="1">
        <v>23.869999999999997</v>
      </c>
      <c r="F39" s="1">
        <v>46.93</v>
      </c>
      <c r="G39" s="9">
        <v>1.7905726310680232E-2</v>
      </c>
      <c r="H39" t="str">
        <f t="shared" si="0"/>
        <v>E-17</v>
      </c>
      <c r="I39" t="str">
        <f t="shared" si="1"/>
        <v>Caa</v>
      </c>
      <c r="J39">
        <f t="shared" si="2"/>
        <v>0</v>
      </c>
      <c r="K39">
        <f t="shared" si="3"/>
        <v>0</v>
      </c>
      <c r="L39" t="str">
        <f t="shared" si="4"/>
        <v>ronald</v>
      </c>
      <c r="O39" s="7" t="s">
        <v>156</v>
      </c>
      <c r="P39" s="4" t="s">
        <v>75</v>
      </c>
      <c r="Q39" s="1">
        <v>2.1582629999999998</v>
      </c>
      <c r="R39" s="1">
        <v>0.21692230000000001</v>
      </c>
      <c r="S39" t="s">
        <v>237</v>
      </c>
    </row>
    <row r="40" spans="1:19" x14ac:dyDescent="0.3">
      <c r="A40" t="s">
        <v>48</v>
      </c>
      <c r="B40">
        <v>19.130000000000003</v>
      </c>
      <c r="C40" s="1">
        <v>1.6600000000000001</v>
      </c>
      <c r="D40" s="1">
        <v>7.3900000000000006</v>
      </c>
      <c r="E40" s="1">
        <v>7.5300000000000011</v>
      </c>
      <c r="F40" s="1">
        <v>53.361599999999996</v>
      </c>
      <c r="G40" s="9">
        <v>0.1492388095238095</v>
      </c>
      <c r="H40" t="str">
        <f t="shared" si="0"/>
        <v>E-18</v>
      </c>
      <c r="I40" t="str">
        <f t="shared" si="1"/>
        <v>C. annuum var. annuum</v>
      </c>
      <c r="J40">
        <f t="shared" si="2"/>
        <v>5.7399300000000002</v>
      </c>
      <c r="K40" t="str">
        <f t="shared" si="3"/>
        <v>Sin datos</v>
      </c>
      <c r="L40" t="str">
        <f t="shared" si="4"/>
        <v>reina</v>
      </c>
      <c r="O40" s="7" t="s">
        <v>157</v>
      </c>
      <c r="P40" s="4" t="s">
        <v>75</v>
      </c>
      <c r="Q40" s="1">
        <v>0</v>
      </c>
      <c r="R40" s="1">
        <v>0</v>
      </c>
      <c r="S40" t="s">
        <v>237</v>
      </c>
    </row>
    <row r="41" spans="1:19" x14ac:dyDescent="0.3">
      <c r="A41" t="s">
        <v>49</v>
      </c>
      <c r="B41">
        <v>13.430000000000001</v>
      </c>
      <c r="C41" s="1">
        <v>4.22</v>
      </c>
      <c r="D41" s="1">
        <v>13.879999999999999</v>
      </c>
      <c r="E41" s="1">
        <v>13.180000000000001</v>
      </c>
      <c r="F41" s="1">
        <v>51.280000000000008</v>
      </c>
      <c r="G41" s="9">
        <v>2.8429138484924465E-2</v>
      </c>
      <c r="H41" t="str">
        <f t="shared" si="0"/>
        <v>E-19</v>
      </c>
      <c r="I41" t="str">
        <f t="shared" si="1"/>
        <v>C. annuum var. annuum</v>
      </c>
      <c r="J41">
        <f t="shared" si="2"/>
        <v>18069.59</v>
      </c>
      <c r="K41" t="str">
        <f t="shared" si="3"/>
        <v>Sin datos</v>
      </c>
      <c r="L41" t="str">
        <f t="shared" si="4"/>
        <v>reina</v>
      </c>
      <c r="O41" s="7" t="s">
        <v>158</v>
      </c>
      <c r="P41" s="4" t="s">
        <v>75</v>
      </c>
      <c r="Q41" s="1">
        <v>4.0548089999999997</v>
      </c>
      <c r="R41" s="1">
        <v>0.33101000000000003</v>
      </c>
      <c r="S41" t="s">
        <v>237</v>
      </c>
    </row>
    <row r="42" spans="1:19" x14ac:dyDescent="0.3">
      <c r="A42" t="s">
        <v>50</v>
      </c>
      <c r="B42">
        <v>16.740000000000002</v>
      </c>
      <c r="C42" s="1">
        <v>8.42</v>
      </c>
      <c r="D42" s="1">
        <v>22.09</v>
      </c>
      <c r="E42" s="1">
        <v>23.82</v>
      </c>
      <c r="F42" s="1">
        <v>48.46</v>
      </c>
      <c r="G42" s="9">
        <v>1.3512688553682341E-2</v>
      </c>
      <c r="H42" t="str">
        <f t="shared" si="0"/>
        <v>E-21</v>
      </c>
      <c r="I42" t="str">
        <f t="shared" si="1"/>
        <v>Caa</v>
      </c>
      <c r="J42">
        <f t="shared" si="2"/>
        <v>0</v>
      </c>
      <c r="K42">
        <f t="shared" si="3"/>
        <v>0</v>
      </c>
      <c r="L42" t="str">
        <f t="shared" si="4"/>
        <v>ronald</v>
      </c>
      <c r="O42" s="7" t="s">
        <v>159</v>
      </c>
      <c r="P42" s="4" t="s">
        <v>75</v>
      </c>
      <c r="Q42" s="1">
        <v>7.3692440000000001</v>
      </c>
      <c r="R42" s="1">
        <v>0.45504475</v>
      </c>
      <c r="S42" t="s">
        <v>237</v>
      </c>
    </row>
    <row r="43" spans="1:19" x14ac:dyDescent="0.3">
      <c r="A43" t="s">
        <v>51</v>
      </c>
      <c r="B43">
        <v>15.279999999999998</v>
      </c>
      <c r="C43" s="1">
        <v>4.2200000000000006</v>
      </c>
      <c r="D43" s="1">
        <v>14.27</v>
      </c>
      <c r="E43" s="1">
        <v>15.120000000000001</v>
      </c>
      <c r="F43" s="1">
        <v>49.180000000000007</v>
      </c>
      <c r="G43" s="9">
        <v>2.595779413447824E-2</v>
      </c>
      <c r="H43" t="str">
        <f t="shared" si="0"/>
        <v>E-22</v>
      </c>
      <c r="I43" t="str">
        <f t="shared" si="1"/>
        <v>C. annuum var. annuum</v>
      </c>
      <c r="J43">
        <f t="shared" si="2"/>
        <v>7.6119899999999996</v>
      </c>
      <c r="K43" t="str">
        <f t="shared" si="3"/>
        <v>Sin datos</v>
      </c>
      <c r="L43" t="str">
        <f t="shared" si="4"/>
        <v>reina</v>
      </c>
      <c r="O43" s="7" t="s">
        <v>160</v>
      </c>
      <c r="P43" s="4" t="s">
        <v>144</v>
      </c>
      <c r="Q43" s="1">
        <v>2.1677329999999997</v>
      </c>
      <c r="R43" s="1">
        <v>0.21109839999999999</v>
      </c>
      <c r="S43" t="s">
        <v>237</v>
      </c>
    </row>
    <row r="44" spans="1:19" x14ac:dyDescent="0.3">
      <c r="A44" t="s">
        <v>52</v>
      </c>
      <c r="B44">
        <v>15.95</v>
      </c>
      <c r="C44" s="1">
        <v>3.78</v>
      </c>
      <c r="D44" s="1">
        <v>13.84</v>
      </c>
      <c r="E44" s="1">
        <v>13.040000000000001</v>
      </c>
      <c r="F44" s="1">
        <v>47.51</v>
      </c>
      <c r="G44" s="9">
        <v>2.6235839100857732E-2</v>
      </c>
      <c r="H44" t="str">
        <f t="shared" si="0"/>
        <v>E-23</v>
      </c>
      <c r="I44" t="str">
        <f t="shared" si="1"/>
        <v>C. annuum var. annuum</v>
      </c>
      <c r="J44">
        <f t="shared" si="2"/>
        <v>9.8182500000000008</v>
      </c>
      <c r="K44" t="str">
        <f t="shared" si="3"/>
        <v>Sin datos</v>
      </c>
      <c r="L44" t="str">
        <f t="shared" si="4"/>
        <v>reina</v>
      </c>
      <c r="O44" s="7" t="s">
        <v>161</v>
      </c>
      <c r="P44" s="4" t="s">
        <v>75</v>
      </c>
      <c r="Q44" s="1">
        <v>5.9429425</v>
      </c>
      <c r="R44" s="1">
        <v>0.29979660000000002</v>
      </c>
      <c r="S44" t="s">
        <v>237</v>
      </c>
    </row>
    <row r="45" spans="1:19" x14ac:dyDescent="0.3">
      <c r="A45" t="s">
        <v>54</v>
      </c>
      <c r="B45">
        <v>14.98</v>
      </c>
      <c r="C45" s="1">
        <v>3.46</v>
      </c>
      <c r="D45" s="1">
        <v>15.63</v>
      </c>
      <c r="E45" s="1">
        <v>13.8</v>
      </c>
      <c r="F45" s="1">
        <v>45.57</v>
      </c>
      <c r="G45" s="9">
        <v>3.6258527748320959E-2</v>
      </c>
      <c r="H45" t="str">
        <f t="shared" si="0"/>
        <v>F-6</v>
      </c>
      <c r="I45" t="str">
        <f t="shared" si="1"/>
        <v>Caa</v>
      </c>
      <c r="J45">
        <f t="shared" si="2"/>
        <v>0</v>
      </c>
      <c r="K45">
        <f t="shared" si="3"/>
        <v>0</v>
      </c>
      <c r="L45" t="str">
        <f t="shared" si="4"/>
        <v>ronald</v>
      </c>
      <c r="O45" s="7" t="s">
        <v>162</v>
      </c>
      <c r="P45" s="4" t="s">
        <v>75</v>
      </c>
      <c r="Q45" s="1">
        <v>2.8492474999999997</v>
      </c>
      <c r="R45" s="1">
        <v>0.19471084999999999</v>
      </c>
      <c r="S45" t="s">
        <v>237</v>
      </c>
    </row>
    <row r="46" spans="1:19" x14ac:dyDescent="0.3">
      <c r="A46" t="s">
        <v>55</v>
      </c>
      <c r="B46">
        <v>15.5</v>
      </c>
      <c r="C46" s="1">
        <v>1.6199999999999999</v>
      </c>
      <c r="D46" s="1">
        <v>5.91</v>
      </c>
      <c r="E46" s="1">
        <v>7</v>
      </c>
      <c r="F46" s="1">
        <v>65.12</v>
      </c>
      <c r="G46" s="9">
        <v>0.142736783625731</v>
      </c>
      <c r="H46" t="s">
        <v>236</v>
      </c>
      <c r="I46" t="e">
        <f t="shared" si="1"/>
        <v>#N/A</v>
      </c>
      <c r="J46" t="e">
        <f t="shared" si="2"/>
        <v>#N/A</v>
      </c>
      <c r="K46" t="e">
        <f t="shared" si="3"/>
        <v>#N/A</v>
      </c>
      <c r="L46" t="e">
        <f t="shared" si="4"/>
        <v>#N/A</v>
      </c>
      <c r="O46" s="7" t="s">
        <v>163</v>
      </c>
      <c r="P46" s="4" t="s">
        <v>75</v>
      </c>
      <c r="Q46" s="1">
        <v>5.2712944999999998</v>
      </c>
      <c r="R46" s="1">
        <v>0.39997690000000002</v>
      </c>
      <c r="S46" t="s">
        <v>237</v>
      </c>
    </row>
    <row r="47" spans="1:19" x14ac:dyDescent="0.3">
      <c r="A47" t="s">
        <v>56</v>
      </c>
      <c r="B47">
        <v>20.923999999999999</v>
      </c>
      <c r="C47" s="1">
        <v>14.4</v>
      </c>
      <c r="D47" s="1">
        <v>17.966666666666669</v>
      </c>
      <c r="E47" s="1">
        <v>18.266666666666666</v>
      </c>
      <c r="F47" s="1">
        <v>99.84999999999998</v>
      </c>
      <c r="G47" s="9">
        <v>2.9650585378744748E-2</v>
      </c>
      <c r="H47" t="s">
        <v>236</v>
      </c>
      <c r="I47" t="e">
        <f t="shared" si="1"/>
        <v>#N/A</v>
      </c>
      <c r="J47" t="e">
        <f t="shared" si="2"/>
        <v>#N/A</v>
      </c>
      <c r="K47" t="e">
        <f t="shared" si="3"/>
        <v>#N/A</v>
      </c>
      <c r="L47" t="e">
        <f t="shared" si="4"/>
        <v>#N/A</v>
      </c>
      <c r="O47" s="7" t="s">
        <v>164</v>
      </c>
      <c r="P47" s="4" t="s">
        <v>75</v>
      </c>
      <c r="Q47" s="1">
        <v>6.6318934999999994</v>
      </c>
      <c r="R47" s="1">
        <v>0.31926155000000001</v>
      </c>
      <c r="S47" t="s">
        <v>237</v>
      </c>
    </row>
    <row r="48" spans="1:19" x14ac:dyDescent="0.3">
      <c r="A48" t="s">
        <v>58</v>
      </c>
      <c r="B48">
        <v>15.320000000000002</v>
      </c>
      <c r="C48" s="1">
        <v>1.78</v>
      </c>
      <c r="D48" s="1">
        <v>11.569999999999999</v>
      </c>
      <c r="E48" s="1">
        <v>11.179999999999998</v>
      </c>
      <c r="F48" s="1">
        <v>28.43</v>
      </c>
      <c r="G48" s="9">
        <v>5.4671566188197761E-2</v>
      </c>
      <c r="H48" t="str">
        <f t="shared" si="0"/>
        <v>F-I</v>
      </c>
      <c r="I48" t="str">
        <f t="shared" si="1"/>
        <v>C. annuum var. annuum</v>
      </c>
      <c r="J48">
        <f t="shared" si="2"/>
        <v>2.5832899999999999</v>
      </c>
      <c r="K48" t="str">
        <f t="shared" si="3"/>
        <v>Sin datos</v>
      </c>
      <c r="L48" t="str">
        <f t="shared" si="4"/>
        <v>reina</v>
      </c>
      <c r="O48" s="7" t="s">
        <v>165</v>
      </c>
      <c r="P48" s="4" t="s">
        <v>75</v>
      </c>
      <c r="Q48" s="1">
        <v>0</v>
      </c>
      <c r="R48" s="1">
        <v>0</v>
      </c>
      <c r="S48" t="s">
        <v>237</v>
      </c>
    </row>
    <row r="49" spans="1:19" x14ac:dyDescent="0.3">
      <c r="A49" t="s">
        <v>59</v>
      </c>
      <c r="B49">
        <v>9.76</v>
      </c>
      <c r="C49" s="1">
        <v>0.15901999999999999</v>
      </c>
      <c r="D49" s="1">
        <v>5.12</v>
      </c>
      <c r="E49" s="1">
        <v>5.3400000000000007</v>
      </c>
      <c r="F49" s="1">
        <v>8.27</v>
      </c>
      <c r="G49" s="9">
        <v>0.21678266317401002</v>
      </c>
      <c r="H49" t="str">
        <f t="shared" si="0"/>
        <v>G-8</v>
      </c>
      <c r="I49" t="str">
        <f t="shared" si="1"/>
        <v>C. annuum var. glabriusculum</v>
      </c>
      <c r="J49">
        <f t="shared" si="2"/>
        <v>1.617E-2</v>
      </c>
      <c r="K49" t="str">
        <f t="shared" si="3"/>
        <v>Sin datos</v>
      </c>
      <c r="L49" t="str">
        <f t="shared" si="4"/>
        <v>reina</v>
      </c>
      <c r="O49" s="7" t="s">
        <v>166</v>
      </c>
      <c r="P49" s="4" t="s">
        <v>75</v>
      </c>
      <c r="Q49" s="1">
        <v>5.1808244999999991</v>
      </c>
      <c r="R49" s="1">
        <v>0.16441595000000001</v>
      </c>
      <c r="S49" t="s">
        <v>237</v>
      </c>
    </row>
    <row r="50" spans="1:19" x14ac:dyDescent="0.3">
      <c r="A50" t="s">
        <v>60</v>
      </c>
      <c r="B50">
        <v>15.169999999999998</v>
      </c>
      <c r="C50" s="1">
        <v>5.6000000000000005</v>
      </c>
      <c r="D50" s="1">
        <v>14.6</v>
      </c>
      <c r="E50" s="1">
        <v>15.15</v>
      </c>
      <c r="F50" s="1">
        <v>62.61</v>
      </c>
      <c r="G50" s="9">
        <v>3.1477466228550563E-2</v>
      </c>
      <c r="H50" t="str">
        <f t="shared" si="0"/>
        <v>G-10</v>
      </c>
      <c r="I50" t="str">
        <f t="shared" si="1"/>
        <v>C. annuum var. annuum</v>
      </c>
      <c r="J50">
        <f t="shared" si="2"/>
        <v>12706.83</v>
      </c>
      <c r="K50" t="str">
        <f t="shared" si="3"/>
        <v>Sin datos</v>
      </c>
      <c r="L50" t="str">
        <f t="shared" si="4"/>
        <v>reina</v>
      </c>
      <c r="O50" s="7" t="s">
        <v>167</v>
      </c>
      <c r="P50" s="4" t="s">
        <v>75</v>
      </c>
      <c r="Q50" s="1">
        <v>0</v>
      </c>
      <c r="R50" s="1">
        <v>0</v>
      </c>
      <c r="S50" t="s">
        <v>237</v>
      </c>
    </row>
    <row r="51" spans="1:19" x14ac:dyDescent="0.3">
      <c r="A51" t="s">
        <v>61</v>
      </c>
      <c r="B51">
        <v>14.809999999999999</v>
      </c>
      <c r="C51" s="1">
        <v>4.58</v>
      </c>
      <c r="D51" s="1">
        <v>15.559999999999999</v>
      </c>
      <c r="E51" s="1">
        <v>16.27</v>
      </c>
      <c r="F51" s="1">
        <v>51.77</v>
      </c>
      <c r="G51" s="9">
        <v>4.1033861416361415E-2</v>
      </c>
      <c r="H51" t="str">
        <f t="shared" si="0"/>
        <v>G-11</v>
      </c>
      <c r="I51" t="str">
        <f t="shared" si="1"/>
        <v>C. annuum var. annuum</v>
      </c>
      <c r="J51">
        <f t="shared" si="2"/>
        <v>1.5600899999999998</v>
      </c>
      <c r="K51" t="str">
        <f t="shared" si="3"/>
        <v>Sin datos</v>
      </c>
      <c r="L51" t="str">
        <f t="shared" si="4"/>
        <v>reina</v>
      </c>
      <c r="O51" s="7" t="s">
        <v>168</v>
      </c>
      <c r="P51" s="4" t="s">
        <v>75</v>
      </c>
      <c r="Q51" s="1">
        <v>5.2675625000000004</v>
      </c>
      <c r="R51" s="1">
        <v>0.25120274999999997</v>
      </c>
      <c r="S51" t="s">
        <v>237</v>
      </c>
    </row>
    <row r="52" spans="1:19" x14ac:dyDescent="0.3">
      <c r="A52" t="s">
        <v>62</v>
      </c>
      <c r="B52">
        <v>17.839999999999996</v>
      </c>
      <c r="C52" s="1">
        <v>3.8</v>
      </c>
      <c r="D52" s="1">
        <v>22.2</v>
      </c>
      <c r="E52" s="1">
        <v>24.3125</v>
      </c>
      <c r="F52" s="1">
        <v>14.612499999999999</v>
      </c>
      <c r="G52" s="9">
        <v>3.1535174629666304E-2</v>
      </c>
      <c r="H52" t="str">
        <f t="shared" si="0"/>
        <v>G-14</v>
      </c>
      <c r="I52" t="str">
        <f t="shared" si="1"/>
        <v>C. annuum var. annuum</v>
      </c>
      <c r="J52">
        <f t="shared" si="2"/>
        <v>3.72295</v>
      </c>
      <c r="K52" t="str">
        <f t="shared" si="3"/>
        <v>Sin datos</v>
      </c>
      <c r="L52" t="str">
        <f t="shared" si="4"/>
        <v>reina</v>
      </c>
      <c r="O52" s="7" t="s">
        <v>169</v>
      </c>
      <c r="P52" s="4" t="s">
        <v>75</v>
      </c>
      <c r="Q52" s="1">
        <v>6.3125554999999993</v>
      </c>
      <c r="R52" s="1">
        <v>0.38181340000000002</v>
      </c>
      <c r="S52" t="s">
        <v>237</v>
      </c>
    </row>
    <row r="53" spans="1:19" x14ac:dyDescent="0.3">
      <c r="A53" t="s">
        <v>64</v>
      </c>
      <c r="B53">
        <v>14.6</v>
      </c>
      <c r="C53" s="1">
        <v>5.46</v>
      </c>
      <c r="D53" s="1">
        <v>30.22</v>
      </c>
      <c r="E53" s="1">
        <v>28.630000000000003</v>
      </c>
      <c r="F53" s="1">
        <v>23.862500000000001</v>
      </c>
      <c r="G53" s="9">
        <v>2.0564929250873117E-2</v>
      </c>
      <c r="H53" t="str">
        <f t="shared" si="0"/>
        <v>G-16</v>
      </c>
      <c r="I53" t="str">
        <f t="shared" si="1"/>
        <v>Caa</v>
      </c>
      <c r="J53">
        <f t="shared" si="2"/>
        <v>7.6006124999999995</v>
      </c>
      <c r="K53">
        <f t="shared" si="3"/>
        <v>0.34723335</v>
      </c>
      <c r="L53" t="str">
        <f t="shared" si="4"/>
        <v>ronald</v>
      </c>
      <c r="O53" s="7" t="s">
        <v>170</v>
      </c>
      <c r="P53" s="4" t="s">
        <v>75</v>
      </c>
      <c r="Q53" s="1">
        <v>9.0473619999999997</v>
      </c>
      <c r="R53" s="1">
        <v>0.37378460000000002</v>
      </c>
      <c r="S53" t="s">
        <v>237</v>
      </c>
    </row>
    <row r="54" spans="1:19" x14ac:dyDescent="0.3">
      <c r="A54" t="s">
        <v>66</v>
      </c>
      <c r="B54">
        <v>14.77</v>
      </c>
      <c r="C54" s="1">
        <v>2.9</v>
      </c>
      <c r="D54" s="1">
        <v>12.610000000000001</v>
      </c>
      <c r="E54" s="1">
        <v>11.620000000000001</v>
      </c>
      <c r="F54" s="1">
        <v>45.137499999999996</v>
      </c>
      <c r="G54" s="9">
        <v>3.0251350427350426E-2</v>
      </c>
      <c r="H54" t="s">
        <v>236</v>
      </c>
      <c r="I54" t="e">
        <f t="shared" si="1"/>
        <v>#N/A</v>
      </c>
      <c r="J54" t="e">
        <f t="shared" si="2"/>
        <v>#N/A</v>
      </c>
      <c r="K54" t="e">
        <f t="shared" si="3"/>
        <v>#N/A</v>
      </c>
      <c r="L54" t="e">
        <f t="shared" si="4"/>
        <v>#N/A</v>
      </c>
      <c r="O54" s="7" t="s">
        <v>171</v>
      </c>
      <c r="P54" s="4" t="s">
        <v>75</v>
      </c>
      <c r="Q54" s="1">
        <v>5.4344299999999999</v>
      </c>
      <c r="R54" s="1">
        <v>0.3754092</v>
      </c>
      <c r="S54" t="s">
        <v>237</v>
      </c>
    </row>
    <row r="55" spans="1:19" x14ac:dyDescent="0.3">
      <c r="A55" t="s">
        <v>67</v>
      </c>
      <c r="B55">
        <v>17.350000000000001</v>
      </c>
      <c r="C55" s="1">
        <v>1.1400000000000001</v>
      </c>
      <c r="D55" s="1">
        <v>8.15</v>
      </c>
      <c r="E55" s="1">
        <v>7.82</v>
      </c>
      <c r="F55" s="1">
        <v>46.010000000000005</v>
      </c>
      <c r="G55" s="9">
        <v>0.13074810606060605</v>
      </c>
      <c r="H55" t="s">
        <v>236</v>
      </c>
      <c r="I55" t="e">
        <f t="shared" si="1"/>
        <v>#N/A</v>
      </c>
      <c r="J55" t="e">
        <f t="shared" si="2"/>
        <v>#N/A</v>
      </c>
      <c r="K55" t="e">
        <f t="shared" si="3"/>
        <v>#N/A</v>
      </c>
      <c r="L55" t="e">
        <f t="shared" si="4"/>
        <v>#N/A</v>
      </c>
      <c r="O55" s="7" t="s">
        <v>172</v>
      </c>
      <c r="P55" s="4" t="s">
        <v>75</v>
      </c>
      <c r="Q55" s="1">
        <v>3.1930265000000002</v>
      </c>
      <c r="R55" s="1">
        <v>0.24166099999999999</v>
      </c>
      <c r="S55" t="s">
        <v>237</v>
      </c>
    </row>
    <row r="56" spans="1:19" x14ac:dyDescent="0.3">
      <c r="A56" t="s">
        <v>68</v>
      </c>
      <c r="B56">
        <v>16</v>
      </c>
      <c r="C56" s="1">
        <v>5.42</v>
      </c>
      <c r="D56" s="1">
        <v>15.98</v>
      </c>
      <c r="E56" s="1">
        <v>14.88</v>
      </c>
      <c r="F56" s="1">
        <v>56.319999999999993</v>
      </c>
      <c r="G56" s="9">
        <v>3.41616114485606E-2</v>
      </c>
      <c r="H56" t="str">
        <f t="shared" si="0"/>
        <v>H-27</v>
      </c>
      <c r="I56" t="str">
        <f t="shared" si="1"/>
        <v>C. annuum var. annuum</v>
      </c>
      <c r="J56">
        <f t="shared" si="2"/>
        <v>13.150599999999999</v>
      </c>
      <c r="K56" t="str">
        <f t="shared" si="3"/>
        <v>Sin datos</v>
      </c>
      <c r="L56" t="str">
        <f t="shared" si="4"/>
        <v>reina</v>
      </c>
      <c r="O56" s="7" t="s">
        <v>173</v>
      </c>
      <c r="P56" s="4" t="s">
        <v>75</v>
      </c>
      <c r="Q56" s="1">
        <v>5.3393480000000002</v>
      </c>
      <c r="R56" s="1">
        <v>0.32968904999999998</v>
      </c>
      <c r="S56" t="s">
        <v>237</v>
      </c>
    </row>
    <row r="57" spans="1:19" x14ac:dyDescent="0.3">
      <c r="A57" t="s">
        <v>69</v>
      </c>
      <c r="B57">
        <v>12.14</v>
      </c>
      <c r="C57" s="1">
        <v>0.2611</v>
      </c>
      <c r="D57" s="1">
        <v>6.9700000000000006</v>
      </c>
      <c r="E57" s="1">
        <v>7.2900000000000009</v>
      </c>
      <c r="F57" s="1">
        <v>7.93</v>
      </c>
      <c r="G57" s="9">
        <v>0.11744996181022274</v>
      </c>
      <c r="H57" t="str">
        <f t="shared" si="0"/>
        <v>H-29</v>
      </c>
      <c r="I57" t="str">
        <f t="shared" si="1"/>
        <v>C. annuum var. glabriusculum</v>
      </c>
      <c r="J57">
        <f t="shared" si="2"/>
        <v>2.6669999999999999E-2</v>
      </c>
      <c r="K57" t="str">
        <f t="shared" si="3"/>
        <v>Sin datos</v>
      </c>
      <c r="L57" t="str">
        <f t="shared" si="4"/>
        <v>reina</v>
      </c>
      <c r="O57" s="7" t="s">
        <v>174</v>
      </c>
      <c r="P57" s="4" t="s">
        <v>75</v>
      </c>
      <c r="Q57" s="1">
        <v>11.658576</v>
      </c>
      <c r="R57" s="1">
        <v>0.52078950000000002</v>
      </c>
      <c r="S57" t="s">
        <v>237</v>
      </c>
    </row>
    <row r="58" spans="1:19" x14ac:dyDescent="0.3">
      <c r="A58" t="s">
        <v>71</v>
      </c>
      <c r="B58">
        <v>21.52</v>
      </c>
      <c r="C58" s="1">
        <v>46.900000000000006</v>
      </c>
      <c r="D58" s="1">
        <v>40.825000000000003</v>
      </c>
      <c r="E58" s="1">
        <v>44.1</v>
      </c>
      <c r="F58" s="1">
        <v>71.075000000000003</v>
      </c>
      <c r="G58" s="9">
        <v>4.5021640498381608E-3</v>
      </c>
      <c r="H58" t="str">
        <f t="shared" si="0"/>
        <v>H-33</v>
      </c>
      <c r="I58" t="str">
        <f t="shared" si="1"/>
        <v>Caa</v>
      </c>
      <c r="J58">
        <f t="shared" si="2"/>
        <v>0</v>
      </c>
      <c r="K58">
        <f t="shared" si="3"/>
        <v>0</v>
      </c>
      <c r="L58" t="str">
        <f t="shared" si="4"/>
        <v>ronald</v>
      </c>
      <c r="O58" s="7" t="s">
        <v>175</v>
      </c>
      <c r="P58" s="4" t="s">
        <v>75</v>
      </c>
      <c r="Q58" s="1">
        <v>2.8060404999999999</v>
      </c>
      <c r="R58" s="1">
        <v>0.27224330000000002</v>
      </c>
      <c r="S58" t="s">
        <v>237</v>
      </c>
    </row>
    <row r="59" spans="1:19" x14ac:dyDescent="0.3">
      <c r="A59" t="s">
        <v>72</v>
      </c>
      <c r="B59">
        <v>16.559999999999999</v>
      </c>
      <c r="C59" s="1">
        <v>4.8</v>
      </c>
      <c r="D59" s="1">
        <v>16.149999999999999</v>
      </c>
      <c r="E59" s="1">
        <v>16.5</v>
      </c>
      <c r="F59" s="1">
        <v>48.279999999999994</v>
      </c>
      <c r="G59" s="9">
        <v>3.7878608015896147E-2</v>
      </c>
      <c r="H59" t="str">
        <f t="shared" si="0"/>
        <v>H-36</v>
      </c>
      <c r="I59" t="str">
        <f t="shared" si="1"/>
        <v>C. annuum var. annuum</v>
      </c>
      <c r="J59">
        <f t="shared" si="2"/>
        <v>33.510599999999997</v>
      </c>
      <c r="K59" t="str">
        <f t="shared" si="3"/>
        <v>Sin datos</v>
      </c>
      <c r="L59" t="str">
        <f t="shared" si="4"/>
        <v>reina</v>
      </c>
      <c r="O59" s="7" t="s">
        <v>176</v>
      </c>
      <c r="P59" s="4" t="s">
        <v>75</v>
      </c>
      <c r="Q59" s="1">
        <v>8.8374074999999994</v>
      </c>
      <c r="R59" s="1">
        <v>0.45978540000000001</v>
      </c>
      <c r="S59" t="s">
        <v>237</v>
      </c>
    </row>
    <row r="60" spans="1:19" x14ac:dyDescent="0.3">
      <c r="A60" t="s">
        <v>73</v>
      </c>
      <c r="B60">
        <v>15.48</v>
      </c>
      <c r="C60" s="1">
        <v>4.74</v>
      </c>
      <c r="D60" s="1">
        <v>25.9</v>
      </c>
      <c r="E60" s="1">
        <v>25.199999999999996</v>
      </c>
      <c r="F60" s="1">
        <v>23.36</v>
      </c>
      <c r="G60" s="9">
        <v>3.4625223314696994E-2</v>
      </c>
      <c r="H60" t="s">
        <v>236</v>
      </c>
      <c r="I60" t="e">
        <f t="shared" si="1"/>
        <v>#N/A</v>
      </c>
      <c r="J60" t="e">
        <f t="shared" si="2"/>
        <v>#N/A</v>
      </c>
      <c r="K60" t="e">
        <f t="shared" si="3"/>
        <v>#N/A</v>
      </c>
      <c r="L60" t="e">
        <f t="shared" si="4"/>
        <v>#N/A</v>
      </c>
      <c r="O60" s="7" t="s">
        <v>177</v>
      </c>
      <c r="P60" s="4" t="s">
        <v>75</v>
      </c>
      <c r="Q60" s="1">
        <v>1.9526559999999999</v>
      </c>
      <c r="R60" s="1">
        <v>0.36581415</v>
      </c>
      <c r="S60" t="s">
        <v>237</v>
      </c>
    </row>
    <row r="61" spans="1:19" x14ac:dyDescent="0.3">
      <c r="A61" t="s">
        <v>92</v>
      </c>
      <c r="B61">
        <v>16.07</v>
      </c>
      <c r="C61">
        <v>0.94000000000000006</v>
      </c>
      <c r="D61">
        <v>7.01</v>
      </c>
      <c r="E61">
        <v>7.1400000000000006</v>
      </c>
      <c r="F61">
        <v>32.1</v>
      </c>
      <c r="G61" s="9">
        <v>0.11565769785769786</v>
      </c>
      <c r="H61" t="str">
        <f t="shared" si="0"/>
        <v>J-9</v>
      </c>
      <c r="I61" t="str">
        <f t="shared" si="1"/>
        <v>Cfr</v>
      </c>
      <c r="J61">
        <f t="shared" si="2"/>
        <v>0.93883899999999998</v>
      </c>
      <c r="K61">
        <f t="shared" si="3"/>
        <v>0.16847685000000001</v>
      </c>
      <c r="L61" t="str">
        <f t="shared" si="4"/>
        <v>ronald</v>
      </c>
      <c r="O61" s="7" t="s">
        <v>178</v>
      </c>
      <c r="P61" s="4" t="s">
        <v>75</v>
      </c>
      <c r="Q61" s="1">
        <v>2.6462814999999997</v>
      </c>
      <c r="R61" s="1">
        <v>0.2150289</v>
      </c>
      <c r="S61" t="s">
        <v>237</v>
      </c>
    </row>
    <row r="62" spans="1:19" x14ac:dyDescent="0.3">
      <c r="A62" t="s">
        <v>93</v>
      </c>
      <c r="B62">
        <v>18.29</v>
      </c>
      <c r="C62">
        <v>0.4</v>
      </c>
      <c r="D62">
        <v>8.3000000000000007</v>
      </c>
      <c r="E62">
        <v>8</v>
      </c>
      <c r="F62">
        <v>12.9</v>
      </c>
      <c r="G62" s="9">
        <v>4.9500000000000002E-2</v>
      </c>
      <c r="H62" t="str">
        <f t="shared" si="0"/>
        <v>C-10</v>
      </c>
      <c r="I62" t="str">
        <f t="shared" si="1"/>
        <v>C. annuum var. annuum</v>
      </c>
      <c r="J62">
        <f t="shared" si="2"/>
        <v>10384.629999999999</v>
      </c>
      <c r="K62" t="str">
        <f t="shared" si="3"/>
        <v>Sin datos</v>
      </c>
      <c r="L62" t="str">
        <f t="shared" si="4"/>
        <v>reina</v>
      </c>
      <c r="O62" s="7" t="s">
        <v>179</v>
      </c>
      <c r="P62" s="4" t="s">
        <v>75</v>
      </c>
      <c r="Q62" s="1">
        <v>3.8667220000000002</v>
      </c>
      <c r="R62" s="1">
        <v>0.24594505</v>
      </c>
      <c r="S62" t="s">
        <v>237</v>
      </c>
    </row>
    <row r="63" spans="1:19" x14ac:dyDescent="0.3">
      <c r="A63" t="s">
        <v>94</v>
      </c>
      <c r="B63">
        <v>10.89</v>
      </c>
      <c r="C63">
        <v>0.33999999999999997</v>
      </c>
      <c r="D63">
        <v>8.1</v>
      </c>
      <c r="E63">
        <v>8.08</v>
      </c>
      <c r="F63">
        <v>10.549999999999999</v>
      </c>
      <c r="G63" s="9">
        <v>0.20001333333333332</v>
      </c>
      <c r="H63" t="s">
        <v>236</v>
      </c>
      <c r="I63" t="e">
        <f t="shared" si="1"/>
        <v>#N/A</v>
      </c>
      <c r="J63" t="e">
        <f t="shared" si="2"/>
        <v>#N/A</v>
      </c>
      <c r="K63" t="e">
        <f t="shared" si="3"/>
        <v>#N/A</v>
      </c>
      <c r="L63" t="e">
        <f t="shared" si="4"/>
        <v>#N/A</v>
      </c>
      <c r="O63" s="7" t="s">
        <v>180</v>
      </c>
      <c r="P63" s="4" t="s">
        <v>135</v>
      </c>
      <c r="Q63" s="1">
        <v>0.37690950000000001</v>
      </c>
      <c r="R63" s="1">
        <v>0.21774014999999999</v>
      </c>
      <c r="S63" t="s">
        <v>237</v>
      </c>
    </row>
    <row r="64" spans="1:19" x14ac:dyDescent="0.3">
      <c r="A64" t="s">
        <v>97</v>
      </c>
      <c r="B64">
        <v>7.4749999999999996</v>
      </c>
      <c r="C64">
        <v>0.34</v>
      </c>
      <c r="D64">
        <v>7.4800000000000013</v>
      </c>
      <c r="E64">
        <v>7.4700000000000006</v>
      </c>
      <c r="F64">
        <v>11.209999999999999</v>
      </c>
      <c r="G64" s="9">
        <v>0.17045000000000002</v>
      </c>
      <c r="H64" t="s">
        <v>236</v>
      </c>
      <c r="I64" t="e">
        <f t="shared" si="1"/>
        <v>#N/A</v>
      </c>
      <c r="J64" t="e">
        <f t="shared" si="2"/>
        <v>#N/A</v>
      </c>
      <c r="K64" t="e">
        <f t="shared" si="3"/>
        <v>#N/A</v>
      </c>
      <c r="L64" t="e">
        <f t="shared" si="4"/>
        <v>#N/A</v>
      </c>
      <c r="O64" s="7" t="s">
        <v>181</v>
      </c>
      <c r="P64" s="4" t="s">
        <v>75</v>
      </c>
      <c r="Q64" s="1">
        <v>3.1190574999999998</v>
      </c>
      <c r="R64" s="1">
        <v>0.31230035</v>
      </c>
      <c r="S64" t="s">
        <v>237</v>
      </c>
    </row>
    <row r="65" spans="1:19" x14ac:dyDescent="0.3">
      <c r="A65" t="s">
        <v>98</v>
      </c>
      <c r="B65">
        <v>11.7</v>
      </c>
      <c r="C65">
        <v>0.38</v>
      </c>
      <c r="D65">
        <v>8.2399999999999984</v>
      </c>
      <c r="E65">
        <v>8.57</v>
      </c>
      <c r="F65">
        <v>11.77</v>
      </c>
      <c r="G65" s="9">
        <v>0.16621666666666662</v>
      </c>
      <c r="H65" t="s">
        <v>236</v>
      </c>
      <c r="I65" t="e">
        <f t="shared" si="1"/>
        <v>#N/A</v>
      </c>
      <c r="J65" t="e">
        <f t="shared" si="2"/>
        <v>#N/A</v>
      </c>
      <c r="K65" t="e">
        <f t="shared" si="3"/>
        <v>#N/A</v>
      </c>
      <c r="L65" t="e">
        <f t="shared" si="4"/>
        <v>#N/A</v>
      </c>
      <c r="O65" s="7" t="s">
        <v>182</v>
      </c>
      <c r="P65" s="4" t="s">
        <v>135</v>
      </c>
      <c r="Q65" s="1">
        <v>2.7293500000000002E-2</v>
      </c>
      <c r="R65" s="1">
        <v>0.16139885000000001</v>
      </c>
      <c r="S65" t="s">
        <v>237</v>
      </c>
    </row>
    <row r="66" spans="1:19" x14ac:dyDescent="0.3">
      <c r="A66" t="s">
        <v>99</v>
      </c>
      <c r="B66">
        <v>12</v>
      </c>
      <c r="C66">
        <v>14.475</v>
      </c>
      <c r="D66">
        <v>19.09</v>
      </c>
      <c r="E66">
        <v>19.14</v>
      </c>
      <c r="F66">
        <v>77.039999999999992</v>
      </c>
      <c r="G66" s="9">
        <v>9.0259740259740259E-3</v>
      </c>
      <c r="H66" t="str">
        <f t="shared" si="0"/>
        <v>J-A</v>
      </c>
      <c r="I66" t="str">
        <f t="shared" si="1"/>
        <v>Cba</v>
      </c>
      <c r="J66">
        <f t="shared" si="2"/>
        <v>1.295194</v>
      </c>
      <c r="K66">
        <f t="shared" si="3"/>
        <v>0.22387024999999999</v>
      </c>
      <c r="L66" t="str">
        <f t="shared" si="4"/>
        <v>ronald</v>
      </c>
      <c r="O66" s="7" t="s">
        <v>183</v>
      </c>
      <c r="P66" s="4" t="s">
        <v>75</v>
      </c>
      <c r="Q66" s="1">
        <v>1.5048765</v>
      </c>
      <c r="R66" s="1">
        <v>0.18893560000000001</v>
      </c>
      <c r="S66" t="s">
        <v>237</v>
      </c>
    </row>
    <row r="67" spans="1:19" x14ac:dyDescent="0.3">
      <c r="A67" t="s">
        <v>100</v>
      </c>
      <c r="B67">
        <v>10.96</v>
      </c>
      <c r="C67">
        <v>0.24</v>
      </c>
      <c r="D67">
        <v>7.62</v>
      </c>
      <c r="E67">
        <v>7.3900000000000006</v>
      </c>
      <c r="F67">
        <v>10.41</v>
      </c>
      <c r="G67" s="9">
        <v>0.22454999999999997</v>
      </c>
      <c r="H67" t="s">
        <v>236</v>
      </c>
      <c r="I67" t="e">
        <f t="shared" ref="I67:I78" si="5">VLOOKUP(A67,$O$2:$R$134,2,FALSE)</f>
        <v>#N/A</v>
      </c>
      <c r="J67" t="e">
        <f t="shared" ref="J67:J78" si="6">VLOOKUP(A67,$O$2:$R$134,3,FALSE)</f>
        <v>#N/A</v>
      </c>
      <c r="K67" t="e">
        <f t="shared" ref="K67:K78" si="7">VLOOKUP(A67,$O$2:$R$134,4,FALSE)</f>
        <v>#N/A</v>
      </c>
      <c r="L67" t="e">
        <f t="shared" ref="L67:L78" si="8">VLOOKUP(A67,$O$2:$S$134,5,FALSE)</f>
        <v>#N/A</v>
      </c>
      <c r="O67" s="7" t="s">
        <v>184</v>
      </c>
      <c r="P67" s="4" t="s">
        <v>75</v>
      </c>
      <c r="Q67" s="1">
        <v>0</v>
      </c>
      <c r="R67" s="1">
        <v>0</v>
      </c>
      <c r="S67" t="s">
        <v>237</v>
      </c>
    </row>
    <row r="68" spans="1:19" x14ac:dyDescent="0.3">
      <c r="A68" t="s">
        <v>101</v>
      </c>
      <c r="B68">
        <v>10.530000000000001</v>
      </c>
      <c r="C68">
        <v>0.14280000000000001</v>
      </c>
      <c r="D68">
        <v>5.92</v>
      </c>
      <c r="E68">
        <v>6.01</v>
      </c>
      <c r="F68">
        <v>9.7800000000000011</v>
      </c>
      <c r="G68" s="9">
        <v>0.37787246745647768</v>
      </c>
      <c r="H68" t="str">
        <f t="shared" ref="H67:H78" si="9">VLOOKUP(A68,$O$2:$R$134,1,FALSE)</f>
        <v>J-C</v>
      </c>
      <c r="I68" t="str">
        <f t="shared" si="5"/>
        <v>Cag</v>
      </c>
      <c r="J68">
        <f t="shared" si="6"/>
        <v>3.4279454999999994</v>
      </c>
      <c r="K68">
        <f t="shared" si="7"/>
        <v>0.24373405000000001</v>
      </c>
      <c r="L68" t="str">
        <f t="shared" si="8"/>
        <v>ronald</v>
      </c>
      <c r="O68" s="7" t="s">
        <v>185</v>
      </c>
      <c r="P68" s="4" t="s">
        <v>135</v>
      </c>
      <c r="Q68" s="1">
        <v>0.37261749999999999</v>
      </c>
      <c r="R68" s="1">
        <v>0.18386115</v>
      </c>
      <c r="S68" t="s">
        <v>237</v>
      </c>
    </row>
    <row r="69" spans="1:19" x14ac:dyDescent="0.3">
      <c r="A69" t="s">
        <v>103</v>
      </c>
      <c r="B69">
        <v>8.3600000000000012</v>
      </c>
      <c r="C69">
        <v>0.12245</v>
      </c>
      <c r="D69">
        <v>4.87</v>
      </c>
      <c r="E69">
        <v>5.1820000000000004</v>
      </c>
      <c r="F69">
        <v>7.5200000000000005</v>
      </c>
      <c r="G69" s="9">
        <v>0.12624000000000002</v>
      </c>
      <c r="H69" t="str">
        <f t="shared" si="9"/>
        <v>I-8B</v>
      </c>
      <c r="I69" t="str">
        <f t="shared" si="5"/>
        <v>Cag</v>
      </c>
      <c r="J69">
        <f t="shared" si="6"/>
        <v>1.390922</v>
      </c>
      <c r="K69">
        <f t="shared" si="7"/>
        <v>0.19629274999999999</v>
      </c>
      <c r="L69" t="str">
        <f t="shared" si="8"/>
        <v>ronald</v>
      </c>
      <c r="O69" s="7" t="s">
        <v>186</v>
      </c>
      <c r="P69" s="4" t="s">
        <v>135</v>
      </c>
      <c r="Q69" s="1">
        <v>0.18140549999999997</v>
      </c>
      <c r="R69" s="1">
        <v>0.23945725000000001</v>
      </c>
      <c r="S69" t="s">
        <v>237</v>
      </c>
    </row>
    <row r="70" spans="1:19" x14ac:dyDescent="0.3">
      <c r="A70" t="s">
        <v>19</v>
      </c>
      <c r="B70">
        <v>14.709999999999999</v>
      </c>
      <c r="C70">
        <v>0.72000000000000008</v>
      </c>
      <c r="D70">
        <v>6.4</v>
      </c>
      <c r="E70">
        <v>6.68</v>
      </c>
      <c r="F70">
        <v>24.57</v>
      </c>
      <c r="G70" s="9">
        <v>8.2022820512820505E-2</v>
      </c>
      <c r="H70" t="str">
        <f t="shared" si="9"/>
        <v>C-9</v>
      </c>
      <c r="I70" t="str">
        <f t="shared" si="5"/>
        <v>C. frutescens</v>
      </c>
      <c r="J70">
        <f t="shared" si="6"/>
        <v>14816.59</v>
      </c>
      <c r="K70" t="str">
        <f t="shared" si="7"/>
        <v>Sin datos</v>
      </c>
      <c r="L70" t="str">
        <f t="shared" si="8"/>
        <v>reina</v>
      </c>
      <c r="O70" s="7" t="s">
        <v>187</v>
      </c>
      <c r="P70" s="4" t="s">
        <v>75</v>
      </c>
      <c r="Q70" s="1">
        <v>1.5821204999999998</v>
      </c>
      <c r="R70" s="1">
        <v>0.24837300000000001</v>
      </c>
      <c r="S70" t="s">
        <v>237</v>
      </c>
    </row>
    <row r="71" spans="1:19" x14ac:dyDescent="0.3">
      <c r="A71" t="s">
        <v>104</v>
      </c>
      <c r="B71">
        <v>10.09</v>
      </c>
      <c r="C71">
        <v>0.26</v>
      </c>
      <c r="D71">
        <v>6.3199999999999994</v>
      </c>
      <c r="E71">
        <v>7.3400000000000007</v>
      </c>
      <c r="F71">
        <v>12.89</v>
      </c>
      <c r="G71" s="9">
        <v>0.18484615384615383</v>
      </c>
      <c r="H71" t="s">
        <v>236</v>
      </c>
      <c r="I71" t="e">
        <f t="shared" si="5"/>
        <v>#N/A</v>
      </c>
      <c r="J71" t="e">
        <f t="shared" si="6"/>
        <v>#N/A</v>
      </c>
      <c r="K71" t="e">
        <f t="shared" si="7"/>
        <v>#N/A</v>
      </c>
      <c r="L71" t="e">
        <f t="shared" si="8"/>
        <v>#N/A</v>
      </c>
      <c r="O71" s="7" t="s">
        <v>188</v>
      </c>
      <c r="P71" s="4" t="s">
        <v>75</v>
      </c>
      <c r="Q71" s="1">
        <v>0.88122800000000001</v>
      </c>
      <c r="R71" s="1">
        <v>0.30826144999999999</v>
      </c>
      <c r="S71" t="s">
        <v>237</v>
      </c>
    </row>
    <row r="72" spans="1:19" x14ac:dyDescent="0.3">
      <c r="A72" t="s">
        <v>105</v>
      </c>
      <c r="B72">
        <v>19.910000000000004</v>
      </c>
      <c r="C72">
        <v>23.475000000000001</v>
      </c>
      <c r="D72">
        <v>31</v>
      </c>
      <c r="E72">
        <v>29.362499999999997</v>
      </c>
      <c r="F72">
        <v>96.5625</v>
      </c>
      <c r="G72" s="9">
        <v>2.4076959501421899E-2</v>
      </c>
      <c r="H72" t="str">
        <f t="shared" si="9"/>
        <v>J-4</v>
      </c>
      <c r="I72" t="str">
        <f t="shared" si="5"/>
        <v>Cba</v>
      </c>
      <c r="J72">
        <f t="shared" si="6"/>
        <v>0.129996</v>
      </c>
      <c r="K72">
        <f t="shared" si="7"/>
        <v>0.16302405</v>
      </c>
      <c r="L72" t="str">
        <f t="shared" si="8"/>
        <v>ronald</v>
      </c>
      <c r="O72" s="7" t="s">
        <v>189</v>
      </c>
      <c r="P72" s="4" t="s">
        <v>135</v>
      </c>
      <c r="Q72" s="1">
        <v>7.0606000000000002E-2</v>
      </c>
      <c r="R72" s="1">
        <v>0.1656753</v>
      </c>
      <c r="S72" t="s">
        <v>237</v>
      </c>
    </row>
    <row r="73" spans="1:19" x14ac:dyDescent="0.3">
      <c r="A73" t="s">
        <v>106</v>
      </c>
      <c r="B73">
        <v>17.149999999999999</v>
      </c>
      <c r="C73">
        <v>3.94</v>
      </c>
      <c r="D73">
        <v>12.830000000000002</v>
      </c>
      <c r="E73">
        <v>12.56</v>
      </c>
      <c r="F73">
        <v>56.94</v>
      </c>
      <c r="G73" s="9">
        <v>4.6551435655477064E-2</v>
      </c>
      <c r="H73" t="str">
        <f t="shared" si="9"/>
        <v>I-2B</v>
      </c>
      <c r="I73" t="str">
        <f t="shared" si="5"/>
        <v>Caa</v>
      </c>
      <c r="J73">
        <f t="shared" si="6"/>
        <v>20.158569</v>
      </c>
      <c r="K73">
        <f t="shared" si="7"/>
        <v>0.71086130000000003</v>
      </c>
      <c r="L73" t="str">
        <f t="shared" si="8"/>
        <v>ronald</v>
      </c>
      <c r="O73" s="7" t="s">
        <v>190</v>
      </c>
      <c r="P73" s="4" t="s">
        <v>75</v>
      </c>
      <c r="Q73" s="1">
        <v>4.2419794999999993</v>
      </c>
      <c r="R73" s="1">
        <v>0.38519750000000003</v>
      </c>
      <c r="S73" t="s">
        <v>237</v>
      </c>
    </row>
    <row r="74" spans="1:19" x14ac:dyDescent="0.3">
      <c r="A74" t="s">
        <v>107</v>
      </c>
      <c r="B74">
        <v>13.4</v>
      </c>
      <c r="C74">
        <v>2.76</v>
      </c>
      <c r="D74">
        <v>8.9600000000000009</v>
      </c>
      <c r="E74">
        <v>8.620000000000001</v>
      </c>
      <c r="F74">
        <v>58.89</v>
      </c>
      <c r="G74" s="9">
        <v>4.3993725490196083E-2</v>
      </c>
      <c r="H74" t="str">
        <f t="shared" si="9"/>
        <v>J-12</v>
      </c>
      <c r="I74" t="str">
        <f t="shared" si="5"/>
        <v>Caa</v>
      </c>
      <c r="J74">
        <f t="shared" si="6"/>
        <v>8.5407409999999988</v>
      </c>
      <c r="K74">
        <f t="shared" si="7"/>
        <v>0.41770930000000001</v>
      </c>
      <c r="L74" t="str">
        <f t="shared" si="8"/>
        <v>ronald</v>
      </c>
      <c r="O74" s="7" t="s">
        <v>191</v>
      </c>
      <c r="P74" s="4" t="s">
        <v>75</v>
      </c>
      <c r="Q74" s="1">
        <v>5.5370529999999993</v>
      </c>
      <c r="R74" s="1">
        <v>0.30929604999999999</v>
      </c>
      <c r="S74" t="s">
        <v>237</v>
      </c>
    </row>
    <row r="75" spans="1:19" x14ac:dyDescent="0.3">
      <c r="A75" t="s">
        <v>109</v>
      </c>
      <c r="B75">
        <v>11.709999999999999</v>
      </c>
      <c r="C75">
        <v>0.43999999999999995</v>
      </c>
      <c r="D75">
        <v>8.6100000000000012</v>
      </c>
      <c r="E75">
        <v>8.44</v>
      </c>
      <c r="F75">
        <v>12.290000000000001</v>
      </c>
      <c r="G75" s="9">
        <v>0.63647999999999993</v>
      </c>
      <c r="H75" t="s">
        <v>236</v>
      </c>
      <c r="I75" t="e">
        <f t="shared" si="5"/>
        <v>#N/A</v>
      </c>
      <c r="J75" t="e">
        <f t="shared" si="6"/>
        <v>#N/A</v>
      </c>
      <c r="K75" t="e">
        <f t="shared" si="7"/>
        <v>#N/A</v>
      </c>
      <c r="L75" t="e">
        <f t="shared" si="8"/>
        <v>#N/A</v>
      </c>
      <c r="O75" s="7" t="s">
        <v>192</v>
      </c>
      <c r="P75" s="4" t="s">
        <v>75</v>
      </c>
      <c r="Q75" s="1">
        <v>1.8732834999999999</v>
      </c>
      <c r="R75" s="1">
        <v>0.23679320000000001</v>
      </c>
      <c r="S75" t="s">
        <v>237</v>
      </c>
    </row>
    <row r="76" spans="1:19" x14ac:dyDescent="0.3">
      <c r="A76" t="s">
        <v>110</v>
      </c>
      <c r="B76">
        <v>17.350000000000001</v>
      </c>
      <c r="C76">
        <v>2.5799999999999996</v>
      </c>
      <c r="D76">
        <v>16.45</v>
      </c>
      <c r="E76">
        <v>11.32</v>
      </c>
      <c r="F76">
        <v>42.790000000000006</v>
      </c>
      <c r="G76" s="9">
        <v>3.1864119905859037E-2</v>
      </c>
      <c r="H76" t="str">
        <f t="shared" si="9"/>
        <v>B-6</v>
      </c>
      <c r="I76" t="str">
        <f t="shared" si="5"/>
        <v>Caa</v>
      </c>
      <c r="J76">
        <f t="shared" si="6"/>
        <v>10.778194000000001</v>
      </c>
      <c r="K76">
        <f t="shared" si="7"/>
        <v>0.65614165000000002</v>
      </c>
      <c r="L76" t="str">
        <f t="shared" si="8"/>
        <v>ronald</v>
      </c>
      <c r="O76" s="7" t="s">
        <v>193</v>
      </c>
      <c r="P76" s="4" t="s">
        <v>75</v>
      </c>
      <c r="Q76" s="1">
        <v>2.642185</v>
      </c>
      <c r="R76" s="1">
        <v>0.24037254999999999</v>
      </c>
      <c r="S76" t="s">
        <v>237</v>
      </c>
    </row>
    <row r="77" spans="1:19" x14ac:dyDescent="0.3">
      <c r="A77" t="s">
        <v>113</v>
      </c>
      <c r="B77">
        <v>20.103999999999999</v>
      </c>
      <c r="C77">
        <v>9.8200000000000021</v>
      </c>
      <c r="D77">
        <v>14.24</v>
      </c>
      <c r="E77">
        <v>10.879999999999999</v>
      </c>
      <c r="F77">
        <v>105.12</v>
      </c>
      <c r="G77" s="9">
        <v>2.0273625275855404E-2</v>
      </c>
      <c r="H77" t="str">
        <f t="shared" si="9"/>
        <v>H-31</v>
      </c>
      <c r="I77" t="str">
        <f t="shared" si="5"/>
        <v>C. annuum var. annuum</v>
      </c>
      <c r="J77">
        <f t="shared" si="6"/>
        <v>3.5106000000000002</v>
      </c>
      <c r="K77" t="str">
        <f t="shared" si="7"/>
        <v>Sin datos</v>
      </c>
      <c r="L77" t="str">
        <f t="shared" si="8"/>
        <v>reina</v>
      </c>
      <c r="O77" s="7" t="s">
        <v>194</v>
      </c>
      <c r="P77" s="4" t="s">
        <v>135</v>
      </c>
      <c r="Q77" s="1">
        <v>0.67107899999999998</v>
      </c>
      <c r="R77" s="1">
        <v>0.31247829999999999</v>
      </c>
      <c r="S77" t="s">
        <v>237</v>
      </c>
    </row>
    <row r="78" spans="1:19" x14ac:dyDescent="0.3">
      <c r="A78" t="s">
        <v>118</v>
      </c>
      <c r="B78">
        <v>16.46</v>
      </c>
      <c r="C78">
        <v>13.679999999999998</v>
      </c>
      <c r="D78">
        <v>22</v>
      </c>
      <c r="E78">
        <v>21.619999999999997</v>
      </c>
      <c r="F78">
        <v>88.49</v>
      </c>
      <c r="G78" s="9">
        <v>2.3834341792799574E-2</v>
      </c>
      <c r="H78" t="str">
        <f t="shared" si="9"/>
        <v>I-5B</v>
      </c>
      <c r="I78" t="str">
        <f t="shared" si="5"/>
        <v>Cba</v>
      </c>
      <c r="J78">
        <f t="shared" si="6"/>
        <v>0.34676749999999995</v>
      </c>
      <c r="K78">
        <f t="shared" si="7"/>
        <v>0.17233345</v>
      </c>
      <c r="L78" t="str">
        <f t="shared" si="8"/>
        <v>ronald</v>
      </c>
      <c r="O78" s="7" t="s">
        <v>195</v>
      </c>
      <c r="P78" s="4" t="s">
        <v>135</v>
      </c>
      <c r="Q78" s="1">
        <v>0.288437</v>
      </c>
      <c r="R78" s="1">
        <v>0.21155025</v>
      </c>
      <c r="S78" t="s">
        <v>237</v>
      </c>
    </row>
    <row r="79" spans="1:19" x14ac:dyDescent="0.3">
      <c r="O79" s="7" t="s">
        <v>196</v>
      </c>
      <c r="P79" s="4" t="s">
        <v>75</v>
      </c>
      <c r="Q79" s="1">
        <v>5.7179639999999994</v>
      </c>
      <c r="R79" s="1">
        <v>0.33505380000000001</v>
      </c>
      <c r="S79" t="s">
        <v>237</v>
      </c>
    </row>
    <row r="80" spans="1:19" x14ac:dyDescent="0.3">
      <c r="O80" s="7" t="s">
        <v>197</v>
      </c>
      <c r="P80" s="4" t="s">
        <v>75</v>
      </c>
      <c r="Q80" s="1">
        <v>1.680121</v>
      </c>
      <c r="R80" s="1">
        <v>0.1934274</v>
      </c>
      <c r="S80" t="s">
        <v>237</v>
      </c>
    </row>
    <row r="81" spans="15:19" x14ac:dyDescent="0.3">
      <c r="O81" s="7" t="s">
        <v>198</v>
      </c>
      <c r="P81" s="4" t="s">
        <v>75</v>
      </c>
      <c r="Q81" s="1">
        <v>0</v>
      </c>
      <c r="R81" s="1">
        <v>0</v>
      </c>
      <c r="S81" t="s">
        <v>237</v>
      </c>
    </row>
    <row r="82" spans="15:19" x14ac:dyDescent="0.3">
      <c r="O82" s="7" t="s">
        <v>199</v>
      </c>
      <c r="P82" s="4" t="s">
        <v>77</v>
      </c>
      <c r="Q82" s="1">
        <v>10.378788499999999</v>
      </c>
      <c r="R82" s="1">
        <v>0.57130040000000004</v>
      </c>
      <c r="S82" t="s">
        <v>237</v>
      </c>
    </row>
    <row r="83" spans="15:19" x14ac:dyDescent="0.3">
      <c r="O83" s="7" t="s">
        <v>200</v>
      </c>
      <c r="P83" s="4" t="s">
        <v>75</v>
      </c>
      <c r="Q83" s="1">
        <v>8.4313369999999992</v>
      </c>
      <c r="R83" s="1">
        <v>0.46446710000000002</v>
      </c>
      <c r="S83" t="s">
        <v>237</v>
      </c>
    </row>
    <row r="84" spans="15:19" x14ac:dyDescent="0.3">
      <c r="O84" s="7" t="s">
        <v>201</v>
      </c>
      <c r="P84" s="4" t="s">
        <v>135</v>
      </c>
      <c r="Q84" s="1">
        <v>0.50280199999999997</v>
      </c>
      <c r="R84" s="1">
        <v>0.29074290000000003</v>
      </c>
      <c r="S84" t="s">
        <v>237</v>
      </c>
    </row>
    <row r="85" spans="15:19" x14ac:dyDescent="0.3">
      <c r="O85" s="7" t="s">
        <v>202</v>
      </c>
      <c r="P85" s="4" t="s">
        <v>75</v>
      </c>
      <c r="Q85" s="1">
        <v>8.3531864999999996</v>
      </c>
      <c r="R85" s="1">
        <v>0.39610689999999998</v>
      </c>
      <c r="S85" t="s">
        <v>237</v>
      </c>
    </row>
    <row r="86" spans="15:19" x14ac:dyDescent="0.3">
      <c r="O86" s="7" t="s">
        <v>203</v>
      </c>
      <c r="P86" s="4" t="s">
        <v>135</v>
      </c>
      <c r="Q86" s="1">
        <v>0.59563900000000003</v>
      </c>
      <c r="R86" s="1">
        <v>0.30080115000000002</v>
      </c>
      <c r="S86" t="s">
        <v>237</v>
      </c>
    </row>
    <row r="87" spans="15:19" x14ac:dyDescent="0.3">
      <c r="O87" s="7" t="s">
        <v>204</v>
      </c>
      <c r="P87" s="4" t="s">
        <v>75</v>
      </c>
      <c r="Q87" s="1">
        <v>10.0919025</v>
      </c>
      <c r="R87" s="1">
        <v>0.35126469999999999</v>
      </c>
      <c r="S87" t="s">
        <v>237</v>
      </c>
    </row>
    <row r="88" spans="15:19" x14ac:dyDescent="0.3">
      <c r="O88" s="7" t="s">
        <v>205</v>
      </c>
      <c r="P88" s="4" t="s">
        <v>75</v>
      </c>
      <c r="Q88" s="1">
        <v>1.8929989999999999</v>
      </c>
      <c r="R88" s="1">
        <v>0.1763922</v>
      </c>
      <c r="S88" t="s">
        <v>237</v>
      </c>
    </row>
    <row r="89" spans="15:19" x14ac:dyDescent="0.3">
      <c r="O89" s="7" t="s">
        <v>206</v>
      </c>
      <c r="P89" s="4" t="s">
        <v>75</v>
      </c>
      <c r="Q89" s="1">
        <v>6.9320294999999996</v>
      </c>
      <c r="R89" s="1">
        <v>0.2477249</v>
      </c>
      <c r="S89" t="s">
        <v>237</v>
      </c>
    </row>
    <row r="90" spans="15:19" x14ac:dyDescent="0.3">
      <c r="O90" s="7" t="s">
        <v>207</v>
      </c>
      <c r="P90" s="4" t="s">
        <v>77</v>
      </c>
      <c r="Q90" s="1">
        <v>6.9112169999999988</v>
      </c>
      <c r="R90" s="1">
        <v>0.37505555000000002</v>
      </c>
      <c r="S90" t="s">
        <v>237</v>
      </c>
    </row>
    <row r="91" spans="15:19" x14ac:dyDescent="0.3">
      <c r="O91" s="7" t="s">
        <v>208</v>
      </c>
      <c r="P91" s="4" t="s">
        <v>75</v>
      </c>
      <c r="Q91" s="1">
        <v>0</v>
      </c>
      <c r="R91" s="1">
        <v>0</v>
      </c>
      <c r="S91" t="s">
        <v>237</v>
      </c>
    </row>
    <row r="92" spans="15:19" x14ac:dyDescent="0.3">
      <c r="O92" s="7" t="s">
        <v>209</v>
      </c>
      <c r="P92" s="4" t="s">
        <v>75</v>
      </c>
      <c r="Q92" s="1">
        <v>2.1951259999999997</v>
      </c>
      <c r="R92" s="1">
        <v>0.18530495</v>
      </c>
      <c r="S92" t="s">
        <v>237</v>
      </c>
    </row>
    <row r="93" spans="15:19" x14ac:dyDescent="0.3">
      <c r="O93" s="10" t="s">
        <v>220</v>
      </c>
      <c r="P93" s="4" t="s">
        <v>217</v>
      </c>
      <c r="Q93" s="1">
        <v>0.27689000000000002</v>
      </c>
      <c r="R93" s="1" t="s">
        <v>215</v>
      </c>
      <c r="S93" t="s">
        <v>238</v>
      </c>
    </row>
    <row r="94" spans="15:19" x14ac:dyDescent="0.3">
      <c r="O94" s="10" t="s">
        <v>221</v>
      </c>
      <c r="P94" s="4" t="s">
        <v>217</v>
      </c>
      <c r="Q94" s="1">
        <v>3.9595299999999995</v>
      </c>
      <c r="R94" s="1" t="s">
        <v>215</v>
      </c>
      <c r="S94" t="s">
        <v>238</v>
      </c>
    </row>
    <row r="95" spans="15:19" x14ac:dyDescent="0.3">
      <c r="O95" s="10" t="s">
        <v>12</v>
      </c>
      <c r="P95" s="4" t="s">
        <v>217</v>
      </c>
      <c r="Q95" s="1">
        <v>5.8153499999999996</v>
      </c>
      <c r="R95" s="1" t="s">
        <v>215</v>
      </c>
      <c r="S95" t="s">
        <v>238</v>
      </c>
    </row>
    <row r="96" spans="15:19" x14ac:dyDescent="0.3">
      <c r="O96" s="10" t="s">
        <v>13</v>
      </c>
      <c r="P96" s="4" t="s">
        <v>218</v>
      </c>
      <c r="Q96" s="1">
        <v>1.03389</v>
      </c>
      <c r="R96" s="1" t="s">
        <v>215</v>
      </c>
      <c r="S96" t="s">
        <v>238</v>
      </c>
    </row>
    <row r="97" spans="15:19" x14ac:dyDescent="0.3">
      <c r="O97" s="10" t="s">
        <v>6</v>
      </c>
      <c r="P97" s="4" t="s">
        <v>217</v>
      </c>
      <c r="Q97" s="1">
        <v>7.6919899999999997</v>
      </c>
      <c r="R97" s="1" t="s">
        <v>215</v>
      </c>
      <c r="S97" t="s">
        <v>238</v>
      </c>
    </row>
    <row r="98" spans="15:19" x14ac:dyDescent="0.3">
      <c r="O98" s="10" t="s">
        <v>7</v>
      </c>
      <c r="P98" s="4" t="s">
        <v>217</v>
      </c>
      <c r="Q98" s="1">
        <v>13234.74</v>
      </c>
      <c r="R98" s="1" t="s">
        <v>215</v>
      </c>
      <c r="S98" t="s">
        <v>238</v>
      </c>
    </row>
    <row r="99" spans="15:19" x14ac:dyDescent="0.3">
      <c r="O99" s="10" t="s">
        <v>9</v>
      </c>
      <c r="P99" s="12" t="s">
        <v>219</v>
      </c>
      <c r="Q99" s="1">
        <v>2.1192699999999998</v>
      </c>
      <c r="R99" s="1" t="s">
        <v>215</v>
      </c>
      <c r="S99" t="s">
        <v>238</v>
      </c>
    </row>
    <row r="100" spans="15:19" x14ac:dyDescent="0.3">
      <c r="O100" s="10" t="s">
        <v>10</v>
      </c>
      <c r="P100" s="4" t="s">
        <v>217</v>
      </c>
      <c r="Q100" s="1">
        <v>5.8778700000000006</v>
      </c>
      <c r="R100" s="1" t="s">
        <v>215</v>
      </c>
      <c r="S100" t="s">
        <v>238</v>
      </c>
    </row>
    <row r="101" spans="15:19" x14ac:dyDescent="0.3">
      <c r="O101" s="10" t="s">
        <v>116</v>
      </c>
      <c r="P101" s="4" t="s">
        <v>217</v>
      </c>
      <c r="Q101" s="1">
        <v>18027.900000000001</v>
      </c>
      <c r="R101" s="1" t="s">
        <v>215</v>
      </c>
      <c r="S101" t="s">
        <v>238</v>
      </c>
    </row>
    <row r="102" spans="15:19" x14ac:dyDescent="0.3">
      <c r="O102" s="10" t="s">
        <v>11</v>
      </c>
      <c r="P102" s="4" t="s">
        <v>217</v>
      </c>
      <c r="Q102" s="1">
        <v>0.90206000000000008</v>
      </c>
      <c r="R102" s="1" t="s">
        <v>215</v>
      </c>
      <c r="S102" t="s">
        <v>238</v>
      </c>
    </row>
    <row r="103" spans="15:19" x14ac:dyDescent="0.3">
      <c r="O103" s="10" t="s">
        <v>93</v>
      </c>
      <c r="P103" s="4" t="s">
        <v>217</v>
      </c>
      <c r="Q103" s="1">
        <v>10384.629999999999</v>
      </c>
      <c r="R103" s="1" t="s">
        <v>215</v>
      </c>
      <c r="S103" t="s">
        <v>238</v>
      </c>
    </row>
    <row r="104" spans="15:19" x14ac:dyDescent="0.3">
      <c r="O104" s="10" t="s">
        <v>22</v>
      </c>
      <c r="P104" s="4" t="s">
        <v>217</v>
      </c>
      <c r="Q104" s="1">
        <v>10803.96</v>
      </c>
      <c r="R104" s="1" t="s">
        <v>215</v>
      </c>
      <c r="S104" t="s">
        <v>238</v>
      </c>
    </row>
    <row r="105" spans="15:19" x14ac:dyDescent="0.3">
      <c r="O105" s="10" t="s">
        <v>14</v>
      </c>
      <c r="P105" s="12" t="s">
        <v>219</v>
      </c>
      <c r="Q105" s="1">
        <v>4.5083599999999997</v>
      </c>
      <c r="R105" s="1" t="s">
        <v>215</v>
      </c>
      <c r="S105" t="s">
        <v>238</v>
      </c>
    </row>
    <row r="106" spans="15:19" x14ac:dyDescent="0.3">
      <c r="O106" s="10" t="s">
        <v>15</v>
      </c>
      <c r="P106" s="4" t="s">
        <v>218</v>
      </c>
      <c r="Q106" s="1">
        <v>6.7375599999999993</v>
      </c>
      <c r="R106" s="1" t="s">
        <v>215</v>
      </c>
      <c r="S106" t="s">
        <v>238</v>
      </c>
    </row>
    <row r="107" spans="15:19" x14ac:dyDescent="0.3">
      <c r="O107" s="10" t="s">
        <v>19</v>
      </c>
      <c r="P107" s="12" t="s">
        <v>219</v>
      </c>
      <c r="Q107" s="1">
        <v>14816.59</v>
      </c>
      <c r="R107" s="1" t="s">
        <v>215</v>
      </c>
      <c r="S107" t="s">
        <v>238</v>
      </c>
    </row>
    <row r="108" spans="15:19" x14ac:dyDescent="0.3">
      <c r="O108" s="10" t="s">
        <v>24</v>
      </c>
      <c r="P108" s="4" t="s">
        <v>217</v>
      </c>
      <c r="Q108" s="1">
        <v>3.3137500000000002</v>
      </c>
      <c r="R108" s="1" t="s">
        <v>215</v>
      </c>
      <c r="S108" t="s">
        <v>238</v>
      </c>
    </row>
    <row r="109" spans="15:19" x14ac:dyDescent="0.3">
      <c r="O109" s="10" t="s">
        <v>25</v>
      </c>
      <c r="P109" s="4" t="s">
        <v>217</v>
      </c>
      <c r="Q109" s="1">
        <v>3.5115699999999999</v>
      </c>
      <c r="R109" s="1" t="s">
        <v>215</v>
      </c>
      <c r="S109" t="s">
        <v>238</v>
      </c>
    </row>
    <row r="110" spans="15:19" x14ac:dyDescent="0.3">
      <c r="O110" s="10" t="s">
        <v>20</v>
      </c>
      <c r="P110" s="4" t="s">
        <v>217</v>
      </c>
      <c r="Q110" s="1">
        <v>15957.18</v>
      </c>
      <c r="R110" s="1" t="s">
        <v>215</v>
      </c>
      <c r="S110" t="s">
        <v>238</v>
      </c>
    </row>
    <row r="111" spans="15:19" x14ac:dyDescent="0.3">
      <c r="O111" s="10" t="s">
        <v>40</v>
      </c>
      <c r="P111" s="4" t="s">
        <v>218</v>
      </c>
      <c r="Q111" s="1">
        <v>4.7010700000000005</v>
      </c>
      <c r="R111" s="1" t="s">
        <v>215</v>
      </c>
      <c r="S111" t="s">
        <v>238</v>
      </c>
    </row>
    <row r="112" spans="15:19" x14ac:dyDescent="0.3">
      <c r="O112" s="10" t="s">
        <v>26</v>
      </c>
      <c r="P112" s="4" t="s">
        <v>217</v>
      </c>
      <c r="Q112" s="1">
        <v>0.01</v>
      </c>
      <c r="R112" s="1" t="s">
        <v>215</v>
      </c>
      <c r="S112" t="s">
        <v>238</v>
      </c>
    </row>
    <row r="113" spans="15:19" x14ac:dyDescent="0.3">
      <c r="O113" s="10" t="s">
        <v>28</v>
      </c>
      <c r="P113" s="12" t="s">
        <v>219</v>
      </c>
      <c r="Q113" s="1">
        <v>5.6006399999999994</v>
      </c>
      <c r="R113" s="1" t="s">
        <v>215</v>
      </c>
      <c r="S113" t="s">
        <v>238</v>
      </c>
    </row>
    <row r="114" spans="15:19" x14ac:dyDescent="0.3">
      <c r="O114" s="10" t="s">
        <v>29</v>
      </c>
      <c r="P114" s="4" t="s">
        <v>218</v>
      </c>
      <c r="Q114" s="1">
        <v>1.53233</v>
      </c>
      <c r="R114" s="1" t="s">
        <v>215</v>
      </c>
      <c r="S114" t="s">
        <v>238</v>
      </c>
    </row>
    <row r="115" spans="15:19" x14ac:dyDescent="0.3">
      <c r="O115" s="10" t="s">
        <v>30</v>
      </c>
      <c r="P115" s="4" t="s">
        <v>218</v>
      </c>
      <c r="Q115" s="1">
        <v>1.8546100000000001</v>
      </c>
      <c r="R115" s="1" t="s">
        <v>215</v>
      </c>
      <c r="S115" t="s">
        <v>238</v>
      </c>
    </row>
    <row r="116" spans="15:19" x14ac:dyDescent="0.3">
      <c r="O116" s="10" t="s">
        <v>31</v>
      </c>
      <c r="P116" s="12" t="s">
        <v>219</v>
      </c>
      <c r="Q116" s="1">
        <v>13371.26</v>
      </c>
      <c r="R116" s="1" t="s">
        <v>215</v>
      </c>
      <c r="S116" t="s">
        <v>238</v>
      </c>
    </row>
    <row r="117" spans="15:19" x14ac:dyDescent="0.3">
      <c r="O117" s="10" t="s">
        <v>33</v>
      </c>
      <c r="P117" s="4" t="s">
        <v>217</v>
      </c>
      <c r="Q117" s="1">
        <v>5.7930100000000007</v>
      </c>
      <c r="R117" s="1" t="s">
        <v>215</v>
      </c>
      <c r="S117" t="s">
        <v>238</v>
      </c>
    </row>
    <row r="118" spans="15:19" x14ac:dyDescent="0.3">
      <c r="O118" s="10" t="s">
        <v>35</v>
      </c>
      <c r="P118" s="4" t="s">
        <v>217</v>
      </c>
      <c r="Q118" s="1">
        <v>7.8775599999999999</v>
      </c>
      <c r="R118" s="1" t="s">
        <v>215</v>
      </c>
      <c r="S118" t="s">
        <v>238</v>
      </c>
    </row>
    <row r="119" spans="15:19" x14ac:dyDescent="0.3">
      <c r="O119" s="10" t="s">
        <v>36</v>
      </c>
      <c r="P119" s="12" t="s">
        <v>219</v>
      </c>
      <c r="Q119" s="1">
        <v>20050.310000000001</v>
      </c>
      <c r="R119" s="1" t="s">
        <v>215</v>
      </c>
      <c r="S119" t="s">
        <v>238</v>
      </c>
    </row>
    <row r="120" spans="15:19" x14ac:dyDescent="0.3">
      <c r="O120" s="10" t="s">
        <v>38</v>
      </c>
      <c r="P120" s="4" t="s">
        <v>218</v>
      </c>
      <c r="Q120" s="1">
        <v>3.1558499999999996</v>
      </c>
      <c r="R120" s="1" t="s">
        <v>215</v>
      </c>
      <c r="S120" t="s">
        <v>238</v>
      </c>
    </row>
    <row r="121" spans="15:19" x14ac:dyDescent="0.3">
      <c r="O121" s="10" t="s">
        <v>48</v>
      </c>
      <c r="P121" s="4" t="s">
        <v>217</v>
      </c>
      <c r="Q121" s="1">
        <v>5.7399300000000002</v>
      </c>
      <c r="R121" s="1" t="s">
        <v>215</v>
      </c>
      <c r="S121" t="s">
        <v>238</v>
      </c>
    </row>
    <row r="122" spans="15:19" x14ac:dyDescent="0.3">
      <c r="O122" s="10" t="s">
        <v>49</v>
      </c>
      <c r="P122" s="4" t="s">
        <v>217</v>
      </c>
      <c r="Q122" s="1">
        <v>18069.59</v>
      </c>
      <c r="R122" s="1" t="s">
        <v>215</v>
      </c>
      <c r="S122" t="s">
        <v>238</v>
      </c>
    </row>
    <row r="123" spans="15:19" x14ac:dyDescent="0.3">
      <c r="O123" s="10" t="s">
        <v>51</v>
      </c>
      <c r="P123" s="4" t="s">
        <v>217</v>
      </c>
      <c r="Q123" s="1">
        <v>7.6119899999999996</v>
      </c>
      <c r="R123" s="1" t="s">
        <v>215</v>
      </c>
      <c r="S123" t="s">
        <v>238</v>
      </c>
    </row>
    <row r="124" spans="15:19" x14ac:dyDescent="0.3">
      <c r="O124" s="10" t="s">
        <v>52</v>
      </c>
      <c r="P124" s="4" t="s">
        <v>217</v>
      </c>
      <c r="Q124" s="1">
        <v>9.8182500000000008</v>
      </c>
      <c r="R124" s="1" t="s">
        <v>215</v>
      </c>
      <c r="S124" t="s">
        <v>238</v>
      </c>
    </row>
    <row r="125" spans="15:19" x14ac:dyDescent="0.3">
      <c r="O125" s="10" t="s">
        <v>58</v>
      </c>
      <c r="P125" s="4" t="s">
        <v>217</v>
      </c>
      <c r="Q125" s="1">
        <v>2.5832899999999999</v>
      </c>
      <c r="R125" s="1" t="s">
        <v>215</v>
      </c>
      <c r="S125" t="s">
        <v>238</v>
      </c>
    </row>
    <row r="126" spans="15:19" x14ac:dyDescent="0.3">
      <c r="O126" s="10" t="s">
        <v>222</v>
      </c>
      <c r="P126" s="4" t="s">
        <v>217</v>
      </c>
      <c r="Q126" s="1">
        <v>5.8852900000000004</v>
      </c>
      <c r="R126" s="1" t="s">
        <v>215</v>
      </c>
      <c r="S126" t="s">
        <v>238</v>
      </c>
    </row>
    <row r="127" spans="15:19" x14ac:dyDescent="0.3">
      <c r="O127" s="10" t="s">
        <v>59</v>
      </c>
      <c r="P127" s="4" t="s">
        <v>218</v>
      </c>
      <c r="Q127" s="1">
        <v>1.617E-2</v>
      </c>
      <c r="R127" s="1" t="s">
        <v>215</v>
      </c>
      <c r="S127" t="s">
        <v>238</v>
      </c>
    </row>
    <row r="128" spans="15:19" x14ac:dyDescent="0.3">
      <c r="O128" s="10" t="s">
        <v>60</v>
      </c>
      <c r="P128" s="4" t="s">
        <v>217</v>
      </c>
      <c r="Q128" s="1">
        <v>12706.83</v>
      </c>
      <c r="R128" s="1" t="s">
        <v>215</v>
      </c>
      <c r="S128" t="s">
        <v>238</v>
      </c>
    </row>
    <row r="129" spans="15:19" x14ac:dyDescent="0.3">
      <c r="O129" s="10" t="s">
        <v>61</v>
      </c>
      <c r="P129" s="4" t="s">
        <v>217</v>
      </c>
      <c r="Q129" s="1">
        <v>1.5600899999999998</v>
      </c>
      <c r="R129" s="1" t="s">
        <v>215</v>
      </c>
      <c r="S129" t="s">
        <v>238</v>
      </c>
    </row>
    <row r="130" spans="15:19" x14ac:dyDescent="0.3">
      <c r="O130" s="10" t="s">
        <v>62</v>
      </c>
      <c r="P130" s="4" t="s">
        <v>217</v>
      </c>
      <c r="Q130" s="1">
        <v>3.72295</v>
      </c>
      <c r="R130" s="1" t="s">
        <v>215</v>
      </c>
      <c r="S130" t="s">
        <v>238</v>
      </c>
    </row>
    <row r="131" spans="15:19" x14ac:dyDescent="0.3">
      <c r="O131" s="10" t="s">
        <v>68</v>
      </c>
      <c r="P131" s="4" t="s">
        <v>217</v>
      </c>
      <c r="Q131" s="1">
        <v>13.150599999999999</v>
      </c>
      <c r="R131" s="1" t="s">
        <v>215</v>
      </c>
      <c r="S131" t="s">
        <v>238</v>
      </c>
    </row>
    <row r="132" spans="15:19" x14ac:dyDescent="0.3">
      <c r="O132" s="10" t="s">
        <v>69</v>
      </c>
      <c r="P132" s="4" t="s">
        <v>218</v>
      </c>
      <c r="Q132" s="1">
        <v>2.6669999999999999E-2</v>
      </c>
      <c r="R132" s="1" t="s">
        <v>215</v>
      </c>
      <c r="S132" t="s">
        <v>238</v>
      </c>
    </row>
    <row r="133" spans="15:19" x14ac:dyDescent="0.3">
      <c r="O133" s="10" t="s">
        <v>113</v>
      </c>
      <c r="P133" s="4" t="s">
        <v>217</v>
      </c>
      <c r="Q133" s="1">
        <v>3.5106000000000002</v>
      </c>
      <c r="R133" s="1" t="s">
        <v>215</v>
      </c>
      <c r="S133" t="s">
        <v>238</v>
      </c>
    </row>
    <row r="134" spans="15:19" x14ac:dyDescent="0.3">
      <c r="O134" s="10" t="s">
        <v>72</v>
      </c>
      <c r="P134" s="4" t="s">
        <v>217</v>
      </c>
      <c r="Q134" s="1">
        <v>33.510599999999997</v>
      </c>
      <c r="R134" s="1" t="s">
        <v>215</v>
      </c>
      <c r="S134" t="s">
        <v>238</v>
      </c>
    </row>
  </sheetData>
  <autoFilter ref="A1:H78" xr:uid="{23241435-9AC9-47B8-9AC4-444F9BFF198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7B25-C487-4431-9B24-F8EBDA0D3763}">
  <dimension ref="A1:L78"/>
  <sheetViews>
    <sheetView tabSelected="1" workbookViewId="0">
      <selection activeCell="Q74" sqref="Q74"/>
    </sheetView>
  </sheetViews>
  <sheetFormatPr defaultRowHeight="14.4" x14ac:dyDescent="0.3"/>
  <cols>
    <col min="7" max="7" width="18.21875" bestFit="1" customWidth="1"/>
    <col min="8" max="8" width="10.109375" bestFit="1" customWidth="1"/>
    <col min="9" max="9" width="26.77734375" bestFit="1" customWidth="1"/>
    <col min="10" max="10" width="10.44140625" bestFit="1" customWidth="1"/>
  </cols>
  <sheetData>
    <row r="1" spans="1:12" x14ac:dyDescent="0.3">
      <c r="A1" t="s">
        <v>228</v>
      </c>
      <c r="B1" t="s">
        <v>229</v>
      </c>
      <c r="C1" t="s">
        <v>230</v>
      </c>
      <c r="D1" t="s">
        <v>234</v>
      </c>
      <c r="E1" t="s">
        <v>231</v>
      </c>
      <c r="F1" t="s">
        <v>232</v>
      </c>
      <c r="G1" t="s">
        <v>233</v>
      </c>
      <c r="H1" t="s">
        <v>235</v>
      </c>
      <c r="I1" t="s">
        <v>78</v>
      </c>
      <c r="J1" t="s">
        <v>212</v>
      </c>
    </row>
    <row r="2" spans="1:12" x14ac:dyDescent="0.3">
      <c r="A2" t="s">
        <v>5</v>
      </c>
      <c r="B2">
        <v>16.41</v>
      </c>
      <c r="C2">
        <v>5.6800000000000015</v>
      </c>
      <c r="D2">
        <v>23.060000000000002</v>
      </c>
      <c r="E2">
        <v>21.810000000000002</v>
      </c>
      <c r="F2">
        <v>25.75</v>
      </c>
      <c r="G2">
        <v>2.3226629474024062E-2</v>
      </c>
      <c r="H2" t="s">
        <v>5</v>
      </c>
      <c r="I2" t="s">
        <v>75</v>
      </c>
      <c r="J2">
        <v>0</v>
      </c>
      <c r="L2" t="s">
        <v>237</v>
      </c>
    </row>
    <row r="3" spans="1:12" x14ac:dyDescent="0.3">
      <c r="A3" t="s">
        <v>6</v>
      </c>
      <c r="B3">
        <v>14.66</v>
      </c>
      <c r="C3">
        <v>3.4399999999999991</v>
      </c>
      <c r="D3">
        <v>14.3</v>
      </c>
      <c r="E3">
        <v>14.530000000000001</v>
      </c>
      <c r="F3">
        <v>44.759999999999991</v>
      </c>
      <c r="G3">
        <v>4.7316263878932355E-2</v>
      </c>
      <c r="H3" t="s">
        <v>6</v>
      </c>
      <c r="I3" t="s">
        <v>240</v>
      </c>
      <c r="J3">
        <v>7.6919899999999997</v>
      </c>
      <c r="L3" t="s">
        <v>238</v>
      </c>
    </row>
    <row r="4" spans="1:12" x14ac:dyDescent="0.3">
      <c r="A4" t="s">
        <v>7</v>
      </c>
      <c r="B4">
        <v>15.2</v>
      </c>
      <c r="C4">
        <v>2.68</v>
      </c>
      <c r="D4">
        <v>10.34</v>
      </c>
      <c r="E4">
        <v>10.76</v>
      </c>
      <c r="F4">
        <v>42.230000000000004</v>
      </c>
      <c r="G4">
        <v>3.6848631897203325E-2</v>
      </c>
      <c r="H4" t="s">
        <v>7</v>
      </c>
      <c r="I4" t="s">
        <v>240</v>
      </c>
      <c r="J4">
        <v>13234.74</v>
      </c>
      <c r="L4" t="s">
        <v>238</v>
      </c>
    </row>
    <row r="5" spans="1:12" x14ac:dyDescent="0.3">
      <c r="A5" t="s">
        <v>9</v>
      </c>
      <c r="B5">
        <v>17.98</v>
      </c>
      <c r="C5">
        <v>1.9000000000000004</v>
      </c>
      <c r="D5">
        <v>9.8699999999999992</v>
      </c>
      <c r="E5">
        <v>9.24</v>
      </c>
      <c r="F5">
        <v>37.059999999999995</v>
      </c>
      <c r="G5">
        <v>6.0266940077466399E-2</v>
      </c>
      <c r="H5" t="s">
        <v>9</v>
      </c>
      <c r="I5" t="s">
        <v>219</v>
      </c>
      <c r="J5">
        <v>2.1192699999999998</v>
      </c>
      <c r="L5" t="s">
        <v>238</v>
      </c>
    </row>
    <row r="6" spans="1:12" x14ac:dyDescent="0.3">
      <c r="A6" t="s">
        <v>10</v>
      </c>
      <c r="B6">
        <v>14.63</v>
      </c>
      <c r="C6">
        <v>5.9000000000000012</v>
      </c>
      <c r="D6">
        <v>20.2</v>
      </c>
      <c r="E6">
        <v>19.583333333333332</v>
      </c>
      <c r="F6">
        <v>55.5</v>
      </c>
      <c r="G6">
        <v>2.4354925273929452E-2</v>
      </c>
      <c r="H6" t="s">
        <v>10</v>
      </c>
      <c r="I6" t="s">
        <v>240</v>
      </c>
      <c r="J6">
        <v>5.8778700000000006</v>
      </c>
      <c r="L6" t="s">
        <v>238</v>
      </c>
    </row>
    <row r="7" spans="1:12" x14ac:dyDescent="0.3">
      <c r="A7" t="s">
        <v>116</v>
      </c>
      <c r="B7">
        <v>14.025</v>
      </c>
      <c r="C7">
        <v>0.5</v>
      </c>
      <c r="D7">
        <v>9</v>
      </c>
      <c r="E7">
        <v>9.5500000000000007</v>
      </c>
      <c r="F7">
        <v>12.9</v>
      </c>
      <c r="G7">
        <v>6.7799999999999999E-2</v>
      </c>
      <c r="H7" t="s">
        <v>116</v>
      </c>
      <c r="I7" t="s">
        <v>240</v>
      </c>
      <c r="J7">
        <v>18027.900000000001</v>
      </c>
      <c r="L7" t="s">
        <v>238</v>
      </c>
    </row>
    <row r="8" spans="1:12" x14ac:dyDescent="0.3">
      <c r="A8" t="s">
        <v>11</v>
      </c>
      <c r="B8">
        <v>15.27</v>
      </c>
      <c r="C8">
        <v>3.96</v>
      </c>
      <c r="D8">
        <v>14.52</v>
      </c>
      <c r="E8">
        <v>15.12</v>
      </c>
      <c r="F8">
        <v>51.220000000000006</v>
      </c>
      <c r="G8">
        <v>2.6077715770068711E-2</v>
      </c>
      <c r="H8" t="s">
        <v>11</v>
      </c>
      <c r="I8" t="s">
        <v>240</v>
      </c>
      <c r="J8">
        <v>0.90206000000000008</v>
      </c>
      <c r="L8" t="s">
        <v>238</v>
      </c>
    </row>
    <row r="9" spans="1:12" x14ac:dyDescent="0.3">
      <c r="A9" t="s">
        <v>12</v>
      </c>
      <c r="B9">
        <v>17.850000000000001</v>
      </c>
      <c r="C9">
        <v>5.2666666666666666</v>
      </c>
      <c r="D9">
        <v>17.133333333333336</v>
      </c>
      <c r="E9">
        <v>15.9</v>
      </c>
      <c r="F9">
        <v>48.75</v>
      </c>
      <c r="G9">
        <v>4.8427083333333336E-2</v>
      </c>
      <c r="H9" t="s">
        <v>12</v>
      </c>
      <c r="I9" t="s">
        <v>240</v>
      </c>
      <c r="J9">
        <v>5.8153499999999996</v>
      </c>
      <c r="L9" t="s">
        <v>238</v>
      </c>
    </row>
    <row r="10" spans="1:12" x14ac:dyDescent="0.3">
      <c r="A10" t="s">
        <v>13</v>
      </c>
      <c r="B10">
        <v>6.7</v>
      </c>
      <c r="C10">
        <v>4.8299999999999996E-2</v>
      </c>
      <c r="D10">
        <v>3.78</v>
      </c>
      <c r="E10">
        <v>3.7300000000000004</v>
      </c>
      <c r="F10">
        <v>6.2200000000000006</v>
      </c>
      <c r="G10">
        <v>0.18174923881606359</v>
      </c>
      <c r="H10" t="s">
        <v>13</v>
      </c>
      <c r="I10" t="s">
        <v>241</v>
      </c>
      <c r="J10">
        <v>1.03389</v>
      </c>
      <c r="L10" t="s">
        <v>238</v>
      </c>
    </row>
    <row r="11" spans="1:12" x14ac:dyDescent="0.3">
      <c r="A11" t="s">
        <v>14</v>
      </c>
      <c r="B11">
        <v>15.48</v>
      </c>
      <c r="C11">
        <v>0.91999999999999993</v>
      </c>
      <c r="D11">
        <v>10.219999999999999</v>
      </c>
      <c r="E11">
        <v>10.36</v>
      </c>
      <c r="F11">
        <v>16.660000000000004</v>
      </c>
      <c r="G11">
        <v>0.11101115384615383</v>
      </c>
      <c r="H11" t="s">
        <v>14</v>
      </c>
      <c r="I11" t="s">
        <v>219</v>
      </c>
      <c r="J11">
        <v>4.5083599999999997</v>
      </c>
      <c r="L11" t="s">
        <v>238</v>
      </c>
    </row>
    <row r="12" spans="1:12" x14ac:dyDescent="0.3">
      <c r="A12" t="s">
        <v>15</v>
      </c>
      <c r="B12">
        <v>10.540000000000001</v>
      </c>
      <c r="C12">
        <v>0.11739999999999999</v>
      </c>
      <c r="D12">
        <v>5.09</v>
      </c>
      <c r="E12">
        <v>4.5600000000000005</v>
      </c>
      <c r="F12">
        <v>8.0400000000000009</v>
      </c>
      <c r="G12">
        <v>0.14470555114927899</v>
      </c>
      <c r="H12" t="s">
        <v>15</v>
      </c>
      <c r="I12" t="s">
        <v>241</v>
      </c>
      <c r="J12">
        <v>6.7375599999999993</v>
      </c>
      <c r="L12" t="s">
        <v>238</v>
      </c>
    </row>
    <row r="13" spans="1:12" x14ac:dyDescent="0.3">
      <c r="A13" t="s">
        <v>20</v>
      </c>
      <c r="B13">
        <v>13.040000000000001</v>
      </c>
      <c r="C13">
        <v>1.9</v>
      </c>
      <c r="D13">
        <v>8.84</v>
      </c>
      <c r="E13">
        <v>9.09</v>
      </c>
      <c r="F13">
        <v>52.48</v>
      </c>
      <c r="G13">
        <v>4.5228674948240163E-2</v>
      </c>
      <c r="H13" t="s">
        <v>20</v>
      </c>
      <c r="I13" t="s">
        <v>240</v>
      </c>
      <c r="J13">
        <v>15957.18</v>
      </c>
      <c r="L13" t="s">
        <v>238</v>
      </c>
    </row>
    <row r="14" spans="1:12" x14ac:dyDescent="0.3">
      <c r="A14" t="s">
        <v>21</v>
      </c>
      <c r="B14">
        <v>14.49</v>
      </c>
      <c r="C14">
        <v>3.2800000000000002</v>
      </c>
      <c r="D14">
        <v>11.7</v>
      </c>
      <c r="E14">
        <v>13.63</v>
      </c>
      <c r="F14">
        <v>42.48</v>
      </c>
      <c r="G14">
        <v>3.641203565062389E-2</v>
      </c>
      <c r="H14" t="s">
        <v>21</v>
      </c>
      <c r="I14" t="s">
        <v>75</v>
      </c>
      <c r="J14">
        <v>6.4383875000000002</v>
      </c>
      <c r="L14" t="s">
        <v>237</v>
      </c>
    </row>
    <row r="15" spans="1:12" x14ac:dyDescent="0.3">
      <c r="A15" t="s">
        <v>22</v>
      </c>
      <c r="B15">
        <v>13.419999999999998</v>
      </c>
      <c r="C15">
        <v>2.38</v>
      </c>
      <c r="D15">
        <v>15.820000000000002</v>
      </c>
      <c r="E15">
        <v>10.27</v>
      </c>
      <c r="F15">
        <v>38.58</v>
      </c>
      <c r="G15">
        <v>2.9453902357576972E-2</v>
      </c>
      <c r="H15" t="s">
        <v>22</v>
      </c>
      <c r="I15" t="s">
        <v>240</v>
      </c>
      <c r="J15">
        <v>10803.96</v>
      </c>
      <c r="L15" t="s">
        <v>238</v>
      </c>
    </row>
    <row r="16" spans="1:12" x14ac:dyDescent="0.3">
      <c r="A16" t="s">
        <v>23</v>
      </c>
      <c r="B16">
        <v>15.709999999999999</v>
      </c>
      <c r="C16">
        <v>1.48</v>
      </c>
      <c r="D16">
        <v>10.930000000000001</v>
      </c>
      <c r="E16">
        <v>10.999999999999998</v>
      </c>
      <c r="F16">
        <v>25</v>
      </c>
      <c r="G16">
        <v>4.3264985994397757E-2</v>
      </c>
      <c r="H16" t="s">
        <v>23</v>
      </c>
      <c r="I16" t="s">
        <v>75</v>
      </c>
      <c r="J16">
        <v>0.96435349999999997</v>
      </c>
      <c r="L16" t="s">
        <v>237</v>
      </c>
    </row>
    <row r="17" spans="1:12" x14ac:dyDescent="0.3">
      <c r="A17" t="s">
        <v>24</v>
      </c>
      <c r="B17">
        <v>14.920000000000002</v>
      </c>
      <c r="C17">
        <v>1.0399999999999998</v>
      </c>
      <c r="D17">
        <v>13.99</v>
      </c>
      <c r="E17">
        <v>12.9</v>
      </c>
      <c r="F17">
        <v>20.28</v>
      </c>
      <c r="G17">
        <v>5.5948282828282826E-2</v>
      </c>
      <c r="H17" t="s">
        <v>24</v>
      </c>
      <c r="I17" t="s">
        <v>240</v>
      </c>
      <c r="J17">
        <v>3.3137500000000002</v>
      </c>
      <c r="L17" t="s">
        <v>238</v>
      </c>
    </row>
    <row r="18" spans="1:12" x14ac:dyDescent="0.3">
      <c r="A18" t="s">
        <v>25</v>
      </c>
      <c r="B18">
        <v>12.86</v>
      </c>
      <c r="C18">
        <v>0.86</v>
      </c>
      <c r="D18">
        <v>8.82</v>
      </c>
      <c r="E18">
        <v>9.0599999999999987</v>
      </c>
      <c r="F18">
        <v>19.880000000000003</v>
      </c>
      <c r="G18">
        <v>6.3650000000000012E-2</v>
      </c>
      <c r="H18" t="s">
        <v>25</v>
      </c>
      <c r="I18" t="s">
        <v>240</v>
      </c>
      <c r="J18">
        <v>3.5115699999999999</v>
      </c>
      <c r="L18" t="s">
        <v>238</v>
      </c>
    </row>
    <row r="19" spans="1:12" x14ac:dyDescent="0.3">
      <c r="A19" t="s">
        <v>26</v>
      </c>
      <c r="B19">
        <v>15.960000000000003</v>
      </c>
      <c r="C19">
        <v>7.6000000000000005</v>
      </c>
      <c r="D19">
        <v>25.883333333333336</v>
      </c>
      <c r="E19">
        <v>25.399999999999995</v>
      </c>
      <c r="F19">
        <v>48.866666666666667</v>
      </c>
      <c r="G19">
        <v>1.4054380929044005E-2</v>
      </c>
      <c r="H19" t="s">
        <v>26</v>
      </c>
      <c r="I19" t="s">
        <v>240</v>
      </c>
      <c r="J19">
        <v>0.01</v>
      </c>
      <c r="L19" t="s">
        <v>238</v>
      </c>
    </row>
    <row r="20" spans="1:12" x14ac:dyDescent="0.3">
      <c r="A20" t="s">
        <v>27</v>
      </c>
      <c r="B20">
        <v>15.689999999999998</v>
      </c>
      <c r="C20">
        <v>3.8</v>
      </c>
      <c r="D20">
        <v>19.09</v>
      </c>
      <c r="E20">
        <v>18.399999999999999</v>
      </c>
      <c r="F20">
        <v>41.92</v>
      </c>
      <c r="G20">
        <v>3.0719202597950229E-2</v>
      </c>
      <c r="H20" t="s">
        <v>27</v>
      </c>
      <c r="I20" t="s">
        <v>75</v>
      </c>
      <c r="J20">
        <v>0</v>
      </c>
      <c r="L20" t="s">
        <v>237</v>
      </c>
    </row>
    <row r="21" spans="1:12" x14ac:dyDescent="0.3">
      <c r="A21" t="s">
        <v>28</v>
      </c>
      <c r="B21">
        <v>16.04</v>
      </c>
      <c r="C21">
        <v>0.74</v>
      </c>
      <c r="D21">
        <v>7.2799999999999994</v>
      </c>
      <c r="E21">
        <v>7</v>
      </c>
      <c r="F21">
        <v>25.919999999999998</v>
      </c>
      <c r="G21">
        <v>8.581309523809523E-2</v>
      </c>
      <c r="H21" t="s">
        <v>28</v>
      </c>
      <c r="I21" t="s">
        <v>219</v>
      </c>
      <c r="J21">
        <v>5.6006399999999994</v>
      </c>
      <c r="L21" t="s">
        <v>238</v>
      </c>
    </row>
    <row r="22" spans="1:12" x14ac:dyDescent="0.3">
      <c r="A22" t="s">
        <v>29</v>
      </c>
      <c r="B22">
        <v>10.690000000000001</v>
      </c>
      <c r="C22">
        <v>0.16404000000000002</v>
      </c>
      <c r="D22">
        <v>5.54</v>
      </c>
      <c r="E22">
        <v>5.49</v>
      </c>
      <c r="F22">
        <v>9.1799999999999979</v>
      </c>
      <c r="G22">
        <v>0.20966811761805956</v>
      </c>
      <c r="H22" t="s">
        <v>29</v>
      </c>
      <c r="I22" t="s">
        <v>241</v>
      </c>
      <c r="J22">
        <v>1.53233</v>
      </c>
      <c r="L22" t="s">
        <v>238</v>
      </c>
    </row>
    <row r="23" spans="1:12" x14ac:dyDescent="0.3">
      <c r="A23" t="s">
        <v>30</v>
      </c>
      <c r="B23">
        <v>8.89</v>
      </c>
      <c r="C23">
        <v>0.15496000000000001</v>
      </c>
      <c r="D23">
        <v>5.5900000000000007</v>
      </c>
      <c r="E23">
        <v>5.5299999999999994</v>
      </c>
      <c r="F23">
        <v>8.7700000000000014</v>
      </c>
      <c r="G23">
        <v>0.19562132896389356</v>
      </c>
      <c r="H23" t="s">
        <v>30</v>
      </c>
      <c r="I23" t="s">
        <v>241</v>
      </c>
      <c r="J23">
        <v>1.8546100000000001</v>
      </c>
      <c r="L23" t="s">
        <v>238</v>
      </c>
    </row>
    <row r="24" spans="1:12" x14ac:dyDescent="0.3">
      <c r="A24" t="s">
        <v>31</v>
      </c>
      <c r="B24">
        <v>16.61</v>
      </c>
      <c r="C24">
        <v>0.57999999999999996</v>
      </c>
      <c r="D24">
        <v>7.6099999999999994</v>
      </c>
      <c r="E24">
        <v>7.3400000000000007</v>
      </c>
      <c r="F24">
        <v>23.1</v>
      </c>
      <c r="G24">
        <v>5.6816666666666661E-2</v>
      </c>
      <c r="H24" t="s">
        <v>31</v>
      </c>
      <c r="I24" t="s">
        <v>219</v>
      </c>
      <c r="J24">
        <v>13371.26</v>
      </c>
      <c r="L24" t="s">
        <v>238</v>
      </c>
    </row>
    <row r="25" spans="1:12" x14ac:dyDescent="0.3">
      <c r="A25" t="s">
        <v>32</v>
      </c>
      <c r="B25">
        <v>15.720000000000002</v>
      </c>
      <c r="C25">
        <v>8.1</v>
      </c>
      <c r="D25">
        <v>29.765000000000001</v>
      </c>
      <c r="E25">
        <v>29.6</v>
      </c>
      <c r="F25">
        <v>36.125</v>
      </c>
      <c r="G25">
        <v>1.5676388888888889E-2</v>
      </c>
      <c r="H25" t="s">
        <v>32</v>
      </c>
      <c r="I25" t="s">
        <v>75</v>
      </c>
      <c r="J25">
        <v>0</v>
      </c>
      <c r="L25" t="s">
        <v>237</v>
      </c>
    </row>
    <row r="26" spans="1:12" x14ac:dyDescent="0.3">
      <c r="A26" t="s">
        <v>33</v>
      </c>
      <c r="B26">
        <v>16.760000000000002</v>
      </c>
      <c r="C26">
        <v>4.26</v>
      </c>
      <c r="D26">
        <v>13.460000000000003</v>
      </c>
      <c r="E26">
        <v>13.1</v>
      </c>
      <c r="F26">
        <v>49.660000000000004</v>
      </c>
      <c r="G26">
        <v>3.1929323071234209E-2</v>
      </c>
      <c r="H26" t="s">
        <v>33</v>
      </c>
      <c r="I26" t="s">
        <v>240</v>
      </c>
      <c r="J26">
        <v>5.7930100000000007</v>
      </c>
      <c r="L26" t="s">
        <v>238</v>
      </c>
    </row>
    <row r="27" spans="1:12" x14ac:dyDescent="0.3">
      <c r="A27" t="s">
        <v>34</v>
      </c>
      <c r="B27">
        <v>16.45</v>
      </c>
      <c r="C27">
        <v>7.2799999999999994</v>
      </c>
      <c r="D27">
        <v>24.75</v>
      </c>
      <c r="E27">
        <v>20.859999999999996</v>
      </c>
      <c r="F27">
        <v>50.7</v>
      </c>
      <c r="G27">
        <v>2.8467574786324789E-2</v>
      </c>
      <c r="H27" t="s">
        <v>34</v>
      </c>
      <c r="I27" t="s">
        <v>75</v>
      </c>
      <c r="J27">
        <v>0</v>
      </c>
      <c r="L27" t="s">
        <v>237</v>
      </c>
    </row>
    <row r="28" spans="1:12" x14ac:dyDescent="0.3">
      <c r="A28" t="s">
        <v>35</v>
      </c>
      <c r="B28">
        <v>16.47</v>
      </c>
      <c r="C28">
        <v>3.7</v>
      </c>
      <c r="D28">
        <v>12.540000000000001</v>
      </c>
      <c r="E28">
        <v>11.17</v>
      </c>
      <c r="F28">
        <v>49.97</v>
      </c>
      <c r="G28">
        <v>1.7224320735444332E-2</v>
      </c>
      <c r="H28" t="s">
        <v>35</v>
      </c>
      <c r="I28" t="s">
        <v>240</v>
      </c>
      <c r="J28">
        <v>7.8775599999999999</v>
      </c>
      <c r="L28" t="s">
        <v>238</v>
      </c>
    </row>
    <row r="29" spans="1:12" x14ac:dyDescent="0.3">
      <c r="A29" t="s">
        <v>36</v>
      </c>
      <c r="B29">
        <v>15.7</v>
      </c>
      <c r="C29">
        <v>0.44768000000000008</v>
      </c>
      <c r="D29">
        <v>6.7299999999999995</v>
      </c>
      <c r="E29">
        <v>6.85</v>
      </c>
      <c r="F29">
        <v>19.05</v>
      </c>
      <c r="G29">
        <v>5.9872449141444885E-2</v>
      </c>
      <c r="H29" t="s">
        <v>36</v>
      </c>
      <c r="I29" t="s">
        <v>219</v>
      </c>
      <c r="J29">
        <v>20050.310000000001</v>
      </c>
      <c r="L29" t="s">
        <v>238</v>
      </c>
    </row>
    <row r="30" spans="1:12" x14ac:dyDescent="0.3">
      <c r="A30" t="s">
        <v>37</v>
      </c>
      <c r="B30">
        <v>15.98</v>
      </c>
      <c r="C30">
        <v>3.5200000000000005</v>
      </c>
      <c r="D30">
        <v>15.1</v>
      </c>
      <c r="E30">
        <v>12.620000000000001</v>
      </c>
      <c r="F30">
        <v>47.69</v>
      </c>
      <c r="G30">
        <v>4.4585457662492549E-2</v>
      </c>
      <c r="H30" t="s">
        <v>37</v>
      </c>
      <c r="I30" t="s">
        <v>75</v>
      </c>
      <c r="J30">
        <v>5.1215669999999998</v>
      </c>
      <c r="L30" t="s">
        <v>237</v>
      </c>
    </row>
    <row r="31" spans="1:12" x14ac:dyDescent="0.3">
      <c r="A31" t="s">
        <v>38</v>
      </c>
      <c r="B31">
        <v>8.85</v>
      </c>
      <c r="C31">
        <v>0.12855999999999998</v>
      </c>
      <c r="D31">
        <v>5.1099999999999994</v>
      </c>
      <c r="E31">
        <v>4.8499999999999996</v>
      </c>
      <c r="F31">
        <v>7.83</v>
      </c>
      <c r="G31">
        <v>0.21197049542985541</v>
      </c>
      <c r="H31" t="s">
        <v>38</v>
      </c>
      <c r="I31" t="s">
        <v>241</v>
      </c>
      <c r="J31">
        <v>3.1558499999999996</v>
      </c>
      <c r="L31" t="s">
        <v>238</v>
      </c>
    </row>
    <row r="33" spans="1:12" x14ac:dyDescent="0.3">
      <c r="A33" t="s">
        <v>40</v>
      </c>
      <c r="B33">
        <v>10.16</v>
      </c>
      <c r="C33">
        <v>9.6739999999999993E-2</v>
      </c>
      <c r="D33">
        <v>4.4799999999999995</v>
      </c>
      <c r="E33">
        <v>4.3599999999999994</v>
      </c>
      <c r="F33">
        <v>8.75</v>
      </c>
      <c r="G33">
        <v>0.20027289605315807</v>
      </c>
      <c r="H33" t="s">
        <v>40</v>
      </c>
      <c r="I33" t="s">
        <v>241</v>
      </c>
      <c r="J33">
        <v>4.7010700000000005</v>
      </c>
      <c r="L33" t="s">
        <v>238</v>
      </c>
    </row>
    <row r="39" spans="1:12" x14ac:dyDescent="0.3">
      <c r="A39" t="s">
        <v>47</v>
      </c>
      <c r="B39">
        <v>14.35</v>
      </c>
      <c r="C39">
        <v>7.3599999999999994</v>
      </c>
      <c r="D39">
        <v>21.339999999999996</v>
      </c>
      <c r="E39">
        <v>23.869999999999997</v>
      </c>
      <c r="F39">
        <v>46.93</v>
      </c>
      <c r="G39">
        <v>1.7905726310680232E-2</v>
      </c>
      <c r="H39" t="s">
        <v>47</v>
      </c>
      <c r="I39" t="s">
        <v>75</v>
      </c>
      <c r="J39">
        <v>0</v>
      </c>
      <c r="L39" t="s">
        <v>237</v>
      </c>
    </row>
    <row r="40" spans="1:12" x14ac:dyDescent="0.3">
      <c r="A40" t="s">
        <v>48</v>
      </c>
      <c r="B40">
        <v>19.130000000000003</v>
      </c>
      <c r="C40">
        <v>1.6600000000000001</v>
      </c>
      <c r="D40">
        <v>7.3900000000000006</v>
      </c>
      <c r="E40">
        <v>7.5300000000000011</v>
      </c>
      <c r="F40">
        <v>53.361599999999996</v>
      </c>
      <c r="G40">
        <v>0.1492388095238095</v>
      </c>
      <c r="H40" t="s">
        <v>48</v>
      </c>
      <c r="I40" t="s">
        <v>240</v>
      </c>
      <c r="J40">
        <v>5.7399300000000002</v>
      </c>
      <c r="L40" t="s">
        <v>238</v>
      </c>
    </row>
    <row r="41" spans="1:12" x14ac:dyDescent="0.3">
      <c r="A41" t="s">
        <v>49</v>
      </c>
      <c r="B41">
        <v>13.430000000000001</v>
      </c>
      <c r="C41">
        <v>4.22</v>
      </c>
      <c r="D41">
        <v>13.879999999999999</v>
      </c>
      <c r="E41">
        <v>13.180000000000001</v>
      </c>
      <c r="F41">
        <v>51.280000000000008</v>
      </c>
      <c r="G41">
        <v>2.8429138484924465E-2</v>
      </c>
      <c r="H41" t="s">
        <v>49</v>
      </c>
      <c r="I41" t="s">
        <v>240</v>
      </c>
      <c r="J41">
        <v>18069.59</v>
      </c>
      <c r="L41" t="s">
        <v>238</v>
      </c>
    </row>
    <row r="42" spans="1:12" x14ac:dyDescent="0.3">
      <c r="A42" t="s">
        <v>50</v>
      </c>
      <c r="B42">
        <v>16.740000000000002</v>
      </c>
      <c r="C42">
        <v>8.42</v>
      </c>
      <c r="D42">
        <v>22.09</v>
      </c>
      <c r="E42">
        <v>23.82</v>
      </c>
      <c r="F42">
        <v>48.46</v>
      </c>
      <c r="G42">
        <v>1.3512688553682341E-2</v>
      </c>
      <c r="H42" t="s">
        <v>50</v>
      </c>
      <c r="I42" t="s">
        <v>75</v>
      </c>
      <c r="J42">
        <v>0</v>
      </c>
      <c r="L42" t="s">
        <v>237</v>
      </c>
    </row>
    <row r="43" spans="1:12" x14ac:dyDescent="0.3">
      <c r="A43" t="s">
        <v>51</v>
      </c>
      <c r="B43">
        <v>15.279999999999998</v>
      </c>
      <c r="C43">
        <v>4.2200000000000006</v>
      </c>
      <c r="D43">
        <v>14.27</v>
      </c>
      <c r="E43">
        <v>15.120000000000001</v>
      </c>
      <c r="F43">
        <v>49.180000000000007</v>
      </c>
      <c r="G43">
        <v>2.595779413447824E-2</v>
      </c>
      <c r="H43" t="s">
        <v>51</v>
      </c>
      <c r="I43" t="s">
        <v>240</v>
      </c>
      <c r="J43">
        <v>7.6119899999999996</v>
      </c>
      <c r="L43" t="s">
        <v>238</v>
      </c>
    </row>
    <row r="44" spans="1:12" x14ac:dyDescent="0.3">
      <c r="A44" t="s">
        <v>52</v>
      </c>
      <c r="B44">
        <v>15.95</v>
      </c>
      <c r="C44">
        <v>3.78</v>
      </c>
      <c r="D44">
        <v>13.84</v>
      </c>
      <c r="E44">
        <v>13.040000000000001</v>
      </c>
      <c r="F44">
        <v>47.51</v>
      </c>
      <c r="G44">
        <v>2.6235839100857732E-2</v>
      </c>
      <c r="H44" t="s">
        <v>52</v>
      </c>
      <c r="I44" t="s">
        <v>240</v>
      </c>
      <c r="J44">
        <v>9.8182500000000008</v>
      </c>
      <c r="L44" t="s">
        <v>238</v>
      </c>
    </row>
    <row r="45" spans="1:12" x14ac:dyDescent="0.3">
      <c r="A45" t="s">
        <v>54</v>
      </c>
      <c r="B45">
        <v>14.98</v>
      </c>
      <c r="C45">
        <v>3.46</v>
      </c>
      <c r="D45">
        <v>15.63</v>
      </c>
      <c r="E45">
        <v>13.8</v>
      </c>
      <c r="F45">
        <v>45.57</v>
      </c>
      <c r="G45">
        <v>3.6258527748320959E-2</v>
      </c>
      <c r="H45" t="s">
        <v>54</v>
      </c>
      <c r="I45" t="s">
        <v>75</v>
      </c>
      <c r="J45">
        <v>0</v>
      </c>
      <c r="L45" t="s">
        <v>237</v>
      </c>
    </row>
    <row r="48" spans="1:12" x14ac:dyDescent="0.3">
      <c r="A48" t="s">
        <v>58</v>
      </c>
      <c r="B48">
        <v>15.320000000000002</v>
      </c>
      <c r="C48">
        <v>1.78</v>
      </c>
      <c r="D48">
        <v>11.569999999999999</v>
      </c>
      <c r="E48">
        <v>11.179999999999998</v>
      </c>
      <c r="F48">
        <v>28.43</v>
      </c>
      <c r="G48">
        <v>5.4671566188197761E-2</v>
      </c>
      <c r="H48" t="s">
        <v>58</v>
      </c>
      <c r="I48" t="s">
        <v>240</v>
      </c>
      <c r="J48">
        <v>2.5832899999999999</v>
      </c>
      <c r="L48" t="s">
        <v>238</v>
      </c>
    </row>
    <row r="49" spans="1:12" x14ac:dyDescent="0.3">
      <c r="A49" t="s">
        <v>59</v>
      </c>
      <c r="B49">
        <v>9.76</v>
      </c>
      <c r="C49">
        <v>0.15901999999999999</v>
      </c>
      <c r="D49">
        <v>5.12</v>
      </c>
      <c r="E49">
        <v>5.3400000000000007</v>
      </c>
      <c r="F49">
        <v>8.27</v>
      </c>
      <c r="G49">
        <v>0.21678266317401002</v>
      </c>
      <c r="H49" t="s">
        <v>59</v>
      </c>
      <c r="I49" t="s">
        <v>241</v>
      </c>
      <c r="J49">
        <v>1.617E-2</v>
      </c>
      <c r="L49" t="s">
        <v>238</v>
      </c>
    </row>
    <row r="50" spans="1:12" x14ac:dyDescent="0.3">
      <c r="A50" t="s">
        <v>60</v>
      </c>
      <c r="B50">
        <v>15.169999999999998</v>
      </c>
      <c r="C50">
        <v>5.6000000000000005</v>
      </c>
      <c r="D50">
        <v>14.6</v>
      </c>
      <c r="E50">
        <v>15.15</v>
      </c>
      <c r="F50">
        <v>62.61</v>
      </c>
      <c r="G50">
        <v>3.1477466228550563E-2</v>
      </c>
      <c r="H50" t="s">
        <v>60</v>
      </c>
      <c r="I50" t="s">
        <v>240</v>
      </c>
      <c r="J50">
        <v>12706.83</v>
      </c>
      <c r="L50" t="s">
        <v>238</v>
      </c>
    </row>
    <row r="51" spans="1:12" x14ac:dyDescent="0.3">
      <c r="A51" t="s">
        <v>61</v>
      </c>
      <c r="B51">
        <v>14.809999999999999</v>
      </c>
      <c r="C51">
        <v>4.58</v>
      </c>
      <c r="D51">
        <v>15.559999999999999</v>
      </c>
      <c r="E51">
        <v>16.27</v>
      </c>
      <c r="F51">
        <v>51.77</v>
      </c>
      <c r="G51">
        <v>4.1033861416361415E-2</v>
      </c>
      <c r="H51" t="s">
        <v>61</v>
      </c>
      <c r="I51" t="s">
        <v>240</v>
      </c>
      <c r="J51">
        <v>1.5600899999999998</v>
      </c>
      <c r="L51" t="s">
        <v>238</v>
      </c>
    </row>
    <row r="52" spans="1:12" x14ac:dyDescent="0.3">
      <c r="A52" t="s">
        <v>62</v>
      </c>
      <c r="B52">
        <v>17.839999999999996</v>
      </c>
      <c r="C52">
        <v>3.8</v>
      </c>
      <c r="D52">
        <v>22.2</v>
      </c>
      <c r="E52">
        <v>24.3125</v>
      </c>
      <c r="F52">
        <v>14.612499999999999</v>
      </c>
      <c r="G52">
        <v>3.1535174629666304E-2</v>
      </c>
      <c r="H52" t="s">
        <v>62</v>
      </c>
      <c r="I52" t="s">
        <v>240</v>
      </c>
      <c r="J52">
        <v>3.72295</v>
      </c>
      <c r="L52" t="s">
        <v>238</v>
      </c>
    </row>
    <row r="53" spans="1:12" x14ac:dyDescent="0.3">
      <c r="A53" t="s">
        <v>64</v>
      </c>
      <c r="B53">
        <v>14.6</v>
      </c>
      <c r="C53">
        <v>5.46</v>
      </c>
      <c r="D53">
        <v>30.22</v>
      </c>
      <c r="E53">
        <v>28.630000000000003</v>
      </c>
      <c r="F53">
        <v>23.862500000000001</v>
      </c>
      <c r="G53">
        <v>2.0564929250873117E-2</v>
      </c>
      <c r="H53" t="s">
        <v>64</v>
      </c>
      <c r="I53" t="s">
        <v>75</v>
      </c>
      <c r="J53">
        <v>7.6006124999999995</v>
      </c>
      <c r="L53" t="s">
        <v>237</v>
      </c>
    </row>
    <row r="56" spans="1:12" x14ac:dyDescent="0.3">
      <c r="A56" t="s">
        <v>68</v>
      </c>
      <c r="B56">
        <v>16</v>
      </c>
      <c r="C56">
        <v>5.42</v>
      </c>
      <c r="D56">
        <v>15.98</v>
      </c>
      <c r="E56">
        <v>14.88</v>
      </c>
      <c r="F56">
        <v>56.319999999999993</v>
      </c>
      <c r="G56">
        <v>3.41616114485606E-2</v>
      </c>
      <c r="H56" t="s">
        <v>68</v>
      </c>
      <c r="I56" t="s">
        <v>240</v>
      </c>
      <c r="J56">
        <v>13.150599999999999</v>
      </c>
      <c r="L56" t="s">
        <v>238</v>
      </c>
    </row>
    <row r="57" spans="1:12" x14ac:dyDescent="0.3">
      <c r="A57" t="s">
        <v>69</v>
      </c>
      <c r="B57">
        <v>12.14</v>
      </c>
      <c r="C57">
        <v>0.2611</v>
      </c>
      <c r="D57">
        <v>6.9700000000000006</v>
      </c>
      <c r="E57">
        <v>7.2900000000000009</v>
      </c>
      <c r="F57">
        <v>7.93</v>
      </c>
      <c r="G57">
        <v>0.11744996181022274</v>
      </c>
      <c r="H57" t="s">
        <v>69</v>
      </c>
      <c r="I57" t="s">
        <v>241</v>
      </c>
      <c r="J57">
        <v>2.6669999999999999E-2</v>
      </c>
      <c r="L57" t="s">
        <v>238</v>
      </c>
    </row>
    <row r="58" spans="1:12" x14ac:dyDescent="0.3">
      <c r="A58" t="s">
        <v>71</v>
      </c>
      <c r="B58">
        <v>21.52</v>
      </c>
      <c r="C58">
        <v>46.900000000000006</v>
      </c>
      <c r="D58">
        <v>40.825000000000003</v>
      </c>
      <c r="E58">
        <v>44.1</v>
      </c>
      <c r="F58">
        <v>71.075000000000003</v>
      </c>
      <c r="G58">
        <v>4.5021640498381608E-3</v>
      </c>
      <c r="H58" t="s">
        <v>71</v>
      </c>
      <c r="I58" t="s">
        <v>75</v>
      </c>
      <c r="J58">
        <v>0</v>
      </c>
      <c r="L58" t="s">
        <v>237</v>
      </c>
    </row>
    <row r="59" spans="1:12" x14ac:dyDescent="0.3">
      <c r="A59" t="s">
        <v>72</v>
      </c>
      <c r="B59">
        <v>16.559999999999999</v>
      </c>
      <c r="C59">
        <v>4.8</v>
      </c>
      <c r="D59">
        <v>16.149999999999999</v>
      </c>
      <c r="E59">
        <v>16.5</v>
      </c>
      <c r="F59">
        <v>48.279999999999994</v>
      </c>
      <c r="G59">
        <v>3.7878608015896147E-2</v>
      </c>
      <c r="H59" t="s">
        <v>72</v>
      </c>
      <c r="I59" t="s">
        <v>240</v>
      </c>
      <c r="J59">
        <v>33.510599999999997</v>
      </c>
      <c r="L59" t="s">
        <v>238</v>
      </c>
    </row>
    <row r="61" spans="1:12" x14ac:dyDescent="0.3">
      <c r="A61" t="s">
        <v>92</v>
      </c>
      <c r="B61">
        <v>16.07</v>
      </c>
      <c r="C61">
        <v>0.94000000000000006</v>
      </c>
      <c r="D61">
        <v>7.01</v>
      </c>
      <c r="E61">
        <v>7.1400000000000006</v>
      </c>
      <c r="F61">
        <v>32.1</v>
      </c>
      <c r="G61">
        <v>0.11565769785769786</v>
      </c>
      <c r="H61" t="s">
        <v>92</v>
      </c>
      <c r="I61" t="s">
        <v>76</v>
      </c>
      <c r="J61">
        <v>0.93883899999999998</v>
      </c>
      <c r="L61" t="s">
        <v>237</v>
      </c>
    </row>
    <row r="62" spans="1:12" x14ac:dyDescent="0.3">
      <c r="A62" t="s">
        <v>93</v>
      </c>
      <c r="B62">
        <v>18.29</v>
      </c>
      <c r="C62">
        <v>0.4</v>
      </c>
      <c r="D62">
        <v>8.3000000000000007</v>
      </c>
      <c r="E62">
        <v>8</v>
      </c>
      <c r="F62">
        <v>12.9</v>
      </c>
      <c r="G62">
        <v>4.9500000000000002E-2</v>
      </c>
      <c r="H62" t="s">
        <v>93</v>
      </c>
      <c r="I62" t="s">
        <v>240</v>
      </c>
      <c r="J62">
        <v>10384.629999999999</v>
      </c>
      <c r="L62" t="s">
        <v>238</v>
      </c>
    </row>
    <row r="66" spans="1:12" x14ac:dyDescent="0.3">
      <c r="A66" t="s">
        <v>99</v>
      </c>
      <c r="B66">
        <v>12</v>
      </c>
      <c r="C66">
        <v>14.475</v>
      </c>
      <c r="D66">
        <v>19.09</v>
      </c>
      <c r="E66">
        <v>19.14</v>
      </c>
      <c r="F66">
        <v>77.039999999999992</v>
      </c>
      <c r="G66">
        <v>9.0259740259740259E-3</v>
      </c>
      <c r="H66" t="s">
        <v>99</v>
      </c>
      <c r="I66" t="s">
        <v>138</v>
      </c>
      <c r="J66">
        <v>1.295194</v>
      </c>
      <c r="L66" t="s">
        <v>237</v>
      </c>
    </row>
    <row r="68" spans="1:12" x14ac:dyDescent="0.3">
      <c r="A68" t="s">
        <v>101</v>
      </c>
      <c r="B68">
        <v>10.530000000000001</v>
      </c>
      <c r="C68">
        <v>0.14280000000000001</v>
      </c>
      <c r="D68">
        <v>5.92</v>
      </c>
      <c r="E68">
        <v>6.01</v>
      </c>
      <c r="F68">
        <v>9.7800000000000011</v>
      </c>
      <c r="G68">
        <v>0.37787246745647768</v>
      </c>
      <c r="H68" t="s">
        <v>101</v>
      </c>
      <c r="I68" t="s">
        <v>77</v>
      </c>
      <c r="J68">
        <v>3.4279454999999994</v>
      </c>
      <c r="L68" t="s">
        <v>237</v>
      </c>
    </row>
    <row r="69" spans="1:12" x14ac:dyDescent="0.3">
      <c r="A69" t="s">
        <v>103</v>
      </c>
      <c r="B69">
        <v>8.3600000000000012</v>
      </c>
      <c r="C69">
        <v>0.12245</v>
      </c>
      <c r="D69">
        <v>4.87</v>
      </c>
      <c r="E69">
        <v>5.1820000000000004</v>
      </c>
      <c r="F69">
        <v>7.5200000000000005</v>
      </c>
      <c r="G69">
        <v>0.12624000000000002</v>
      </c>
      <c r="H69" t="s">
        <v>103</v>
      </c>
      <c r="I69" t="s">
        <v>77</v>
      </c>
      <c r="J69">
        <v>1.390922</v>
      </c>
      <c r="L69" t="s">
        <v>237</v>
      </c>
    </row>
    <row r="70" spans="1:12" x14ac:dyDescent="0.3">
      <c r="A70" t="s">
        <v>19</v>
      </c>
      <c r="B70">
        <v>14.709999999999999</v>
      </c>
      <c r="C70">
        <v>0.72000000000000008</v>
      </c>
      <c r="D70">
        <v>6.4</v>
      </c>
      <c r="E70">
        <v>6.68</v>
      </c>
      <c r="F70">
        <v>24.57</v>
      </c>
      <c r="G70">
        <v>8.2022820512820505E-2</v>
      </c>
      <c r="H70" t="s">
        <v>19</v>
      </c>
      <c r="I70" t="s">
        <v>219</v>
      </c>
      <c r="J70">
        <v>14816.59</v>
      </c>
      <c r="L70" t="s">
        <v>238</v>
      </c>
    </row>
    <row r="72" spans="1:12" x14ac:dyDescent="0.3">
      <c r="A72" t="s">
        <v>105</v>
      </c>
      <c r="B72">
        <v>19.910000000000004</v>
      </c>
      <c r="C72">
        <v>23.475000000000001</v>
      </c>
      <c r="D72">
        <v>31</v>
      </c>
      <c r="E72">
        <v>29.362499999999997</v>
      </c>
      <c r="F72">
        <v>96.5625</v>
      </c>
      <c r="G72">
        <v>2.4076959501421899E-2</v>
      </c>
      <c r="H72" t="s">
        <v>105</v>
      </c>
      <c r="I72" t="s">
        <v>138</v>
      </c>
      <c r="J72">
        <v>0.129996</v>
      </c>
      <c r="L72" t="s">
        <v>237</v>
      </c>
    </row>
    <row r="73" spans="1:12" x14ac:dyDescent="0.3">
      <c r="A73" t="s">
        <v>106</v>
      </c>
      <c r="B73">
        <v>17.149999999999999</v>
      </c>
      <c r="C73">
        <v>3.94</v>
      </c>
      <c r="D73">
        <v>12.830000000000002</v>
      </c>
      <c r="E73">
        <v>12.56</v>
      </c>
      <c r="F73">
        <v>56.94</v>
      </c>
      <c r="G73">
        <v>4.6551435655477064E-2</v>
      </c>
      <c r="H73" t="s">
        <v>106</v>
      </c>
      <c r="I73" t="s">
        <v>75</v>
      </c>
      <c r="J73">
        <v>20.158569</v>
      </c>
      <c r="L73" t="s">
        <v>237</v>
      </c>
    </row>
    <row r="74" spans="1:12" x14ac:dyDescent="0.3">
      <c r="A74" t="s">
        <v>107</v>
      </c>
      <c r="B74">
        <v>13.4</v>
      </c>
      <c r="C74">
        <v>2.76</v>
      </c>
      <c r="D74">
        <v>8.9600000000000009</v>
      </c>
      <c r="E74">
        <v>8.620000000000001</v>
      </c>
      <c r="F74">
        <v>58.89</v>
      </c>
      <c r="G74">
        <v>4.3993725490196083E-2</v>
      </c>
      <c r="H74" t="s">
        <v>107</v>
      </c>
      <c r="I74" t="s">
        <v>75</v>
      </c>
      <c r="J74">
        <v>8.5407409999999988</v>
      </c>
      <c r="L74" t="s">
        <v>237</v>
      </c>
    </row>
    <row r="76" spans="1:12" x14ac:dyDescent="0.3">
      <c r="A76" t="s">
        <v>110</v>
      </c>
      <c r="B76">
        <v>17.350000000000001</v>
      </c>
      <c r="C76">
        <v>2.5799999999999996</v>
      </c>
      <c r="D76">
        <v>16.45</v>
      </c>
      <c r="E76">
        <v>11.32</v>
      </c>
      <c r="F76">
        <v>42.790000000000006</v>
      </c>
      <c r="G76">
        <v>3.1864119905859037E-2</v>
      </c>
      <c r="H76" t="s">
        <v>110</v>
      </c>
      <c r="I76" t="s">
        <v>75</v>
      </c>
      <c r="J76">
        <v>10.778194000000001</v>
      </c>
      <c r="L76" t="s">
        <v>237</v>
      </c>
    </row>
    <row r="77" spans="1:12" x14ac:dyDescent="0.3">
      <c r="A77" t="s">
        <v>113</v>
      </c>
      <c r="B77">
        <v>20.103999999999999</v>
      </c>
      <c r="C77">
        <v>9.8200000000000021</v>
      </c>
      <c r="D77">
        <v>14.24</v>
      </c>
      <c r="E77">
        <v>10.879999999999999</v>
      </c>
      <c r="F77">
        <v>105.12</v>
      </c>
      <c r="G77">
        <v>2.0273625275855404E-2</v>
      </c>
      <c r="H77" t="s">
        <v>113</v>
      </c>
      <c r="I77" t="s">
        <v>240</v>
      </c>
      <c r="J77">
        <v>3.5106000000000002</v>
      </c>
      <c r="L77" t="s">
        <v>238</v>
      </c>
    </row>
    <row r="78" spans="1:12" x14ac:dyDescent="0.3">
      <c r="A78" t="s">
        <v>118</v>
      </c>
      <c r="B78">
        <v>16.46</v>
      </c>
      <c r="C78">
        <v>13.679999999999998</v>
      </c>
      <c r="D78">
        <v>22</v>
      </c>
      <c r="E78">
        <v>21.619999999999997</v>
      </c>
      <c r="F78">
        <v>88.49</v>
      </c>
      <c r="G78">
        <v>2.3834341792799574E-2</v>
      </c>
      <c r="H78" t="s">
        <v>118</v>
      </c>
      <c r="I78" t="s">
        <v>138</v>
      </c>
      <c r="J78">
        <v>0.34676749999999995</v>
      </c>
      <c r="L78" t="s">
        <v>237</v>
      </c>
    </row>
  </sheetData>
  <autoFilter ref="A1:L78" xr:uid="{A2517B25-C487-4431-9B24-F8EBDA0D37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Hoja1</vt:lpstr>
      <vt:lpstr>Datos Morfológicos</vt:lpstr>
      <vt:lpstr>traits</vt:lpstr>
      <vt:lpstr>Datos SSR</vt:lpstr>
      <vt:lpstr>Datos Capsaicina</vt:lpstr>
      <vt:lpstr>traits_cap</vt:lpstr>
      <vt:lpstr>traits_cap_csv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Andres Viafara Vega</dc:creator>
  <cp:lastModifiedBy>Penuela Aristizabal, Mauricio</cp:lastModifiedBy>
  <dcterms:created xsi:type="dcterms:W3CDTF">2015-06-05T18:19:34Z</dcterms:created>
  <dcterms:modified xsi:type="dcterms:W3CDTF">2025-12-22T16:07:19Z</dcterms:modified>
</cp:coreProperties>
</file>